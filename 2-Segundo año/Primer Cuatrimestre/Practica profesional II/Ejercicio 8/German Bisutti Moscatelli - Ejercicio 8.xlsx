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 de Tareas" sheetId="1" r:id="rId5"/>
    <sheet state="visible" name="Copia de Plan de Tareas" sheetId="2" r:id="rId6"/>
  </sheets>
  <definedNames/>
  <calcPr/>
</workbook>
</file>

<file path=xl/sharedStrings.xml><?xml version="1.0" encoding="utf-8"?>
<sst xmlns="http://schemas.openxmlformats.org/spreadsheetml/2006/main" count="4004" uniqueCount="1414">
  <si>
    <t>Grupo</t>
  </si>
  <si>
    <t>ID</t>
  </si>
  <si>
    <t>Tarea</t>
  </si>
  <si>
    <t>Duración en Dias</t>
  </si>
  <si>
    <t>Comienzo</t>
  </si>
  <si>
    <t>Fin</t>
  </si>
  <si>
    <t>Predecesoras</t>
  </si>
  <si>
    <t>Responsable</t>
  </si>
  <si>
    <t>Relevamientos</t>
  </si>
  <si>
    <t>Relevamiento de alcance del proyecto</t>
  </si>
  <si>
    <t>German Bisutti</t>
  </si>
  <si>
    <t>Relevamiento de necesidad A DESA</t>
  </si>
  <si>
    <t>1</t>
  </si>
  <si>
    <t>Relevamiento de necesidad de A de control</t>
  </si>
  <si>
    <t>Relevamiento de necesidad de A DEMO</t>
  </si>
  <si>
    <t>Relevamiento necesidad de U SI</t>
  </si>
  <si>
    <t>Relevamiento necesidad de U acceso</t>
  </si>
  <si>
    <t>Relevamiento necesidad de U desarrolladores</t>
  </si>
  <si>
    <t>Relevamiento necesidad de U testing</t>
  </si>
  <si>
    <t>Relevamiento necesidad de U control</t>
  </si>
  <si>
    <t>Presupuestos</t>
  </si>
  <si>
    <t>Solicitud cotización licencia A DESA</t>
  </si>
  <si>
    <t>Aprobacion solicitud cotizacion A DESA</t>
  </si>
  <si>
    <t>Bruno Bisutti</t>
  </si>
  <si>
    <t>Cotizacion A DESA</t>
  </si>
  <si>
    <t>Recepción cotización A DESA</t>
  </si>
  <si>
    <t>Solicitud aprobacion cotizacion A DESA</t>
  </si>
  <si>
    <t>Aprobacion solicitud aprobacion cotizacion A DESA</t>
  </si>
  <si>
    <t>Aprobación cotización licencia A DESA</t>
  </si>
  <si>
    <t>Precentación del presupuesto</t>
  </si>
  <si>
    <t>Solicitud análisis de presupuestos</t>
  </si>
  <si>
    <t>Aprobacion solicitud análisis de presupuestos</t>
  </si>
  <si>
    <t>Análisis de presupuestos</t>
  </si>
  <si>
    <t>Solicitud de aprobación de presupuestos</t>
  </si>
  <si>
    <t>Aprobacion de solicitud de presupuestos</t>
  </si>
  <si>
    <t>Aprobación de presupuestos</t>
  </si>
  <si>
    <t>Solicitud de analisis de viavilidad A DESA</t>
  </si>
  <si>
    <t>Aprobacion solicitud analisis de viabilidad A DESA</t>
  </si>
  <si>
    <t>Aalisis de viavilidad A DESA</t>
  </si>
  <si>
    <t>Ambiente</t>
  </si>
  <si>
    <t>Solicitud de compra licencia A DESA</t>
  </si>
  <si>
    <t>Aprobación solicitud compra licencia A DESA</t>
  </si>
  <si>
    <t>Compra licencia A DESA</t>
  </si>
  <si>
    <t>Recepción licencia A DESA</t>
  </si>
  <si>
    <t>Disponibilidad licencia A DESA</t>
  </si>
  <si>
    <t>Solicitud de creación de A DESA</t>
  </si>
  <si>
    <t>Aprobación solicitud creación A DESA</t>
  </si>
  <si>
    <t>Creación A DESA</t>
  </si>
  <si>
    <t>Prueba de creacion de A DESA</t>
  </si>
  <si>
    <t>Alma Martino</t>
  </si>
  <si>
    <t>U desarrollo</t>
  </si>
  <si>
    <t>Solicitud de alta U desarrollo</t>
  </si>
  <si>
    <t>Aprobación solicitud alta U desarrollo</t>
  </si>
  <si>
    <t>Alta U desarrolladores</t>
  </si>
  <si>
    <t>Prueba alta U desarrolladores</t>
  </si>
  <si>
    <t>U Testing</t>
  </si>
  <si>
    <t>Solicitud de alta U testing</t>
  </si>
  <si>
    <t>Aprobación solicitud alta U testing</t>
  </si>
  <si>
    <t>Alta U testing</t>
  </si>
  <si>
    <t>Prueba alta U testing</t>
  </si>
  <si>
    <t>U control</t>
  </si>
  <si>
    <t>Solicitud de alta U control</t>
  </si>
  <si>
    <t>Aprobación solicitud alta U control</t>
  </si>
  <si>
    <t>Alta U control</t>
  </si>
  <si>
    <t>Prueba alta U control</t>
  </si>
  <si>
    <t>Relevamiento de conexion DESA - DEMO</t>
  </si>
  <si>
    <t>Relevamiento necesidades U Testing</t>
  </si>
  <si>
    <t>Relevamiento necesidades U Control</t>
  </si>
  <si>
    <t>Relevamiento necesidades U Si</t>
  </si>
  <si>
    <t>Solicitud cotización licencia A DEMO</t>
  </si>
  <si>
    <t>Aprobacion solicitud  A DEMO</t>
  </si>
  <si>
    <t>Cotizacion A DEMO</t>
  </si>
  <si>
    <t>Recepción cotización A DEMO</t>
  </si>
  <si>
    <t>Solicitud aprobacion cotizacion A DEMO</t>
  </si>
  <si>
    <t>Aprobación solicitud aprobacion cotización A DEMO</t>
  </si>
  <si>
    <t>Aprobacion cotizacion licencia A DEMO</t>
  </si>
  <si>
    <t>Solicitud aprobación de presupuestos</t>
  </si>
  <si>
    <t>Aprobacion solicitud de presupuestos</t>
  </si>
  <si>
    <t>Solicitud de analisis de viavilidad A DEMO</t>
  </si>
  <si>
    <t>Aprobacion solicitud analisis de viabilidad A DEMO</t>
  </si>
  <si>
    <t>Aalisis de viavilidad A DEMO</t>
  </si>
  <si>
    <t>Disponibilidad</t>
  </si>
  <si>
    <t>Solicitud de compra licencia A DEMO</t>
  </si>
  <si>
    <t>Aprobación solicitud compra licencia A DEMO</t>
  </si>
  <si>
    <t>Compra licencia A DEMO</t>
  </si>
  <si>
    <t>Recepción licencia A DEMO</t>
  </si>
  <si>
    <t>Disponibilidad licencia A DEMO</t>
  </si>
  <si>
    <t>Solicitud de creación A DEMO</t>
  </si>
  <si>
    <t>Aprobación solicitud de creación A DEMO</t>
  </si>
  <si>
    <t>Creación A DEMO</t>
  </si>
  <si>
    <t>Prueba de creacion de A DEMO</t>
  </si>
  <si>
    <t>Solicitud conexion DESA - DEMO</t>
  </si>
  <si>
    <t>Aprobacion solicitud conexion DESA - DEMO</t>
  </si>
  <si>
    <t>Conexion DESA - DEMO</t>
  </si>
  <si>
    <t>Prueba de conexion DESA - DEMO</t>
  </si>
  <si>
    <t>Solicitud de alta U testing - DEMO</t>
  </si>
  <si>
    <t>Aprobación alta solicitud de U testing  - DEMO</t>
  </si>
  <si>
    <t>Alta de U testing - DEMO</t>
  </si>
  <si>
    <t>Prueba alta de U testing - DEMO</t>
  </si>
  <si>
    <t>Solicitud de baja U de testing - DESA</t>
  </si>
  <si>
    <t>Aprobación baja solicitud de U testing - DESA</t>
  </si>
  <si>
    <t>Baja de U testing - DESA</t>
  </si>
  <si>
    <t>Prueba baja de U testing - DESA</t>
  </si>
  <si>
    <t>U SI</t>
  </si>
  <si>
    <t>Solicitud de alta U Si - DEMO</t>
  </si>
  <si>
    <t>Aprobación alta solicitud de U Si  - DEMO</t>
  </si>
  <si>
    <t>Alta de U Si - DEMO</t>
  </si>
  <si>
    <t>Prueba alta de U Si - DEMO</t>
  </si>
  <si>
    <t>Solicitud de baja U de Si - DESA</t>
  </si>
  <si>
    <t>Aprobación baja solicitud de U Si - DESA</t>
  </si>
  <si>
    <t>Baja de U Si - DESA</t>
  </si>
  <si>
    <t>Prueba baja de U Si</t>
  </si>
  <si>
    <t>Solicitud de alta U control - DEMO</t>
  </si>
  <si>
    <t>Aprobación alta solicitud de U control  - DEMO</t>
  </si>
  <si>
    <t>Alta de U control - DEMO</t>
  </si>
  <si>
    <t>Prueba alta de U control - DEMO</t>
  </si>
  <si>
    <t>Relevamiento A SIT</t>
  </si>
  <si>
    <t>Relevamiento de conexion DEMO - SIT</t>
  </si>
  <si>
    <t>Relevamiento creacion replica BD</t>
  </si>
  <si>
    <t>A SIT</t>
  </si>
  <si>
    <t>Solicitud cotización licencia A SIT</t>
  </si>
  <si>
    <t>Aprobacion solicitud cotizacion A SIT</t>
  </si>
  <si>
    <t>Cotizacion A SIT</t>
  </si>
  <si>
    <t>Recepción cotización A SIT</t>
  </si>
  <si>
    <t>Solucitud aprobacion cotizacion A SIT</t>
  </si>
  <si>
    <t>Aprobación solicitud aprobacion cotización A SIT</t>
  </si>
  <si>
    <t>Aprobacion de cotizacion A SIT</t>
  </si>
  <si>
    <t xml:space="preserve">Análisis de presupuestos </t>
  </si>
  <si>
    <t xml:space="preserve">Aprobacion de solicitud de presupuestos </t>
  </si>
  <si>
    <t>Solicitud de analisis de viavilidad A SIT</t>
  </si>
  <si>
    <t>Aprobacion solicitud analisis de viabilidad A SIT</t>
  </si>
  <si>
    <t>Analisis de viavilidad A SIT</t>
  </si>
  <si>
    <t>Solicitud de compra licencia A SIT</t>
  </si>
  <si>
    <t>Aprobación solicitud compra licencia A SIT</t>
  </si>
  <si>
    <t>Compra licencia A SIT</t>
  </si>
  <si>
    <t>Recepción licencia A SIT</t>
  </si>
  <si>
    <t>Disponibilidad licencia A SIT</t>
  </si>
  <si>
    <t>Solicitud de creación A SIT</t>
  </si>
  <si>
    <t>Aprobación solicitud de creación A SIT</t>
  </si>
  <si>
    <t>Creación A SIT</t>
  </si>
  <si>
    <t>Prueba creacion A SIT</t>
  </si>
  <si>
    <t>Solicitud conexion DEMO - SIT</t>
  </si>
  <si>
    <t>Aprobacion solicitud conexion DEMO - SIT</t>
  </si>
  <si>
    <t>Conexion DEMO - SIT</t>
  </si>
  <si>
    <t>Prueba de conexion DEMO - SIT</t>
  </si>
  <si>
    <t>Base de Datos</t>
  </si>
  <si>
    <t>Solicitud de analisis de propuestas y viavilidad BD</t>
  </si>
  <si>
    <t>Aprobacion solicitud analisis de propuestas y viabilidad BD</t>
  </si>
  <si>
    <t>Aalisis de propuestas y viavilidad BD</t>
  </si>
  <si>
    <t>Solicitud de creación BD</t>
  </si>
  <si>
    <t>Aprobación de creación BD</t>
  </si>
  <si>
    <t>Creación BD</t>
  </si>
  <si>
    <t>Prueba BD</t>
  </si>
  <si>
    <t>Solicitud de alta 30 U testing - SIT</t>
  </si>
  <si>
    <t>Aprobación alta solicitud de 30 U testing  - SIT</t>
  </si>
  <si>
    <t>Alta de 30 U testing - SIT</t>
  </si>
  <si>
    <t>Prueba alta de 30 U testing - SIT</t>
  </si>
  <si>
    <t>Solicitud de baja 10 U de testing - DEMO</t>
  </si>
  <si>
    <t>Aprobación baja solicitud de 10 U testing - DEMO</t>
  </si>
  <si>
    <t>Baja de 10 U testing - DEMO</t>
  </si>
  <si>
    <t>Prueba baja de 10 U testing - DEMO</t>
  </si>
  <si>
    <t>Solicitud de alta 2 U Si - SIT</t>
  </si>
  <si>
    <t>Aprobación alta solicitud de 2 U Si  - SIT</t>
  </si>
  <si>
    <t>Alta de 2 U Si - SIT</t>
  </si>
  <si>
    <t>Prueba alta de 2 U Si - SIT</t>
  </si>
  <si>
    <t>Solicitud de alta 2 U control - SIT</t>
  </si>
  <si>
    <t>Aprobación alta solicitud de 2 U control  - SIT</t>
  </si>
  <si>
    <t>Alta de 2 U control - SIT</t>
  </si>
  <si>
    <t>Prueba alta de 2 U control - SIT</t>
  </si>
  <si>
    <t>U Desarrollo</t>
  </si>
  <si>
    <t>Solicitud de alta 2 U desarrollo - DESA</t>
  </si>
  <si>
    <t>Aprobación alta solicitud de 2 U desarrollo - DESA</t>
  </si>
  <si>
    <t>Alta de 2 U desarrollo - DESA</t>
  </si>
  <si>
    <t>Prueba alta de 2 U desarrollo - DESA</t>
  </si>
  <si>
    <t>Solicitud de baja 2 U desarrollo - DESA</t>
  </si>
  <si>
    <t>Aprobación baja solicitud de 2 U desarrollo - DESA</t>
  </si>
  <si>
    <t>Baja de 2 U desarrollo - DESA</t>
  </si>
  <si>
    <t>Prueba baja de 2 U desarrollo - DESA</t>
  </si>
  <si>
    <t>U Externos</t>
  </si>
  <si>
    <t>Solicitud de alta U externos - A SIT</t>
  </si>
  <si>
    <t>Aprobación alta solicitud nivel 1 de U externos  - A SIT</t>
  </si>
  <si>
    <t>Aprobación alta solicitud nivel 2 de U externos  - A SIT</t>
  </si>
  <si>
    <t>Alta de U externos - A SIT</t>
  </si>
  <si>
    <t>Prueba alta de U externos - A SIT</t>
  </si>
  <si>
    <t xml:space="preserve">Relevamiento de necesidad Ambientes DESA </t>
  </si>
  <si>
    <t>Relevamiento conexion Ambientes DESA - DEMO</t>
  </si>
  <si>
    <t>Presupuesto</t>
  </si>
  <si>
    <t>Solicitud cotización licencia A DESA2</t>
  </si>
  <si>
    <t>Aprobacion solicitud cotizacion A DESA2</t>
  </si>
  <si>
    <t>Cotizacion A DESA2</t>
  </si>
  <si>
    <t>Recepción cotización A DESA2</t>
  </si>
  <si>
    <t>Solicitud aprobacion cotizacion A DESA2</t>
  </si>
  <si>
    <t>Aprobacion solicitud aprobacion cotizacion A DESA2</t>
  </si>
  <si>
    <t>Aprobación cotización licencia A DESA2</t>
  </si>
  <si>
    <t>Solicitud de analisis de viavilidad A DESA2</t>
  </si>
  <si>
    <t>Aprobacion solicitud analisis de viabilidad A DESA2</t>
  </si>
  <si>
    <t>Aalisis de viavilidad A DESA2</t>
  </si>
  <si>
    <t>Solicitud de compra licencia A DESA2</t>
  </si>
  <si>
    <t>Aprobación solicitud compra licencia A DESA2</t>
  </si>
  <si>
    <t>Compra licencia A DESA2</t>
  </si>
  <si>
    <t>Recepción licencia A DESA2</t>
  </si>
  <si>
    <t>Disponibilidad licencia A DESA2</t>
  </si>
  <si>
    <t>Solicitud de otorgamiento licencia cortesia DESA 1</t>
  </si>
  <si>
    <t>Aprobacion solicitud otorgamiento licencia cortesia DESA 1</t>
  </si>
  <si>
    <t>Recepción licencia A DESA1</t>
  </si>
  <si>
    <t>Disponibilidad licencia A DESA1</t>
  </si>
  <si>
    <t>Desconexion</t>
  </si>
  <si>
    <t>Solicitud desconexion A DESA - DEMO</t>
  </si>
  <si>
    <t>Aprobacion solicitud desconexion A DESA - DEMO</t>
  </si>
  <si>
    <t>Desconexion A DESA - DEMO</t>
  </si>
  <si>
    <t>Prueba desconexion A DESA - DEMO</t>
  </si>
  <si>
    <t>Limpieza</t>
  </si>
  <si>
    <t>Solicitud limpieza A DESA</t>
  </si>
  <si>
    <t>Aprobacion solicitud limpieza A DESA</t>
  </si>
  <si>
    <t xml:space="preserve">Limpieza A DESA prueba de limpieza </t>
  </si>
  <si>
    <t>Prueba de limpieza A DESA</t>
  </si>
  <si>
    <t>Clonacion DESA1</t>
  </si>
  <si>
    <t>Solicitud Clonacion DESA - DESA1</t>
  </si>
  <si>
    <t>Aprobacion solicitud clonacion DESA - DESA1</t>
  </si>
  <si>
    <t>Clonacion DESA - DESA1</t>
  </si>
  <si>
    <t>Prueba clonacion DESA - DESA1</t>
  </si>
  <si>
    <t>Clonacion DESA2</t>
  </si>
  <si>
    <t>Solicitud Clonacion DESA1 - DESA2</t>
  </si>
  <si>
    <t>Aprobacion solicitud clonacion DESA1 - DESA2</t>
  </si>
  <si>
    <t>Clonacion DESA1 - DESA2</t>
  </si>
  <si>
    <t>Prueba clonacion DESA1 - DESA2</t>
  </si>
  <si>
    <t>Baja DESA</t>
  </si>
  <si>
    <t>Solicitud baja A DESA</t>
  </si>
  <si>
    <t>Aprobacion solicitud de baja A DESA</t>
  </si>
  <si>
    <t>Baja A DESA</t>
  </si>
  <si>
    <t>Prueba baja A DESA</t>
  </si>
  <si>
    <t>Clonacion DESA3</t>
  </si>
  <si>
    <t>Solicitud Clonacion DESA2 - DESA3</t>
  </si>
  <si>
    <t>Aprobacion solicitud clonacion DESA2 - DESA3</t>
  </si>
  <si>
    <t>Clonacion DESA2 - DESA3</t>
  </si>
  <si>
    <t>Prueba clonacion DESA2 - DESA3</t>
  </si>
  <si>
    <t>Conexion DESA1</t>
  </si>
  <si>
    <t>Solicitud conexion A DESA1 - DEMO</t>
  </si>
  <si>
    <t>Aprobacion solicitud conexion A DESA1 - DEMO</t>
  </si>
  <si>
    <t>Conexion A DESA1 - DEMO</t>
  </si>
  <si>
    <t>Prueba conexion A DESA1 - DEMO</t>
  </si>
  <si>
    <t>Conexion DESA2</t>
  </si>
  <si>
    <t>Solicitud conexion A DESA2 - DEMO</t>
  </si>
  <si>
    <t>Aprobacion solicitud conexion A DESA2 - DEMO</t>
  </si>
  <si>
    <t>Conexion A DESA2 - DEMO</t>
  </si>
  <si>
    <t>Prueba conexion A DESA2 - DEMO</t>
  </si>
  <si>
    <t>Conexion DESA3</t>
  </si>
  <si>
    <t>Solicitud conexion A DESA3 - DEMO</t>
  </si>
  <si>
    <t>Aprobacion solicitud conexion A DESA3 - DEMO</t>
  </si>
  <si>
    <t>Conexion A DESA3 - DEMO</t>
  </si>
  <si>
    <t>Prueba conexion A DESA3 - DEMO</t>
  </si>
  <si>
    <t>U DESA 1</t>
  </si>
  <si>
    <t>Solicitud baja 30 U desarrollo - DESA1</t>
  </si>
  <si>
    <t>Aprobacion solicitud 30 U desarrollo - DESA1</t>
  </si>
  <si>
    <t>Baja 30 U desarrollo - DESA1</t>
  </si>
  <si>
    <t>Prueba baja 30 U desarrollo - DESA1</t>
  </si>
  <si>
    <t>U DESA 2</t>
  </si>
  <si>
    <t>Solicitud baja 30 U desarrollo - DESA2</t>
  </si>
  <si>
    <t>Aprobacion solicitud  baja 30 U desarrollo - DESA2</t>
  </si>
  <si>
    <t>Baja 30 U desarrollo - DESA2</t>
  </si>
  <si>
    <t>Prueba baja 30 U desarrollo - DESA2</t>
  </si>
  <si>
    <t>U DESA 3</t>
  </si>
  <si>
    <t>Solicitud de alta 20 U externos - A DESA3</t>
  </si>
  <si>
    <t>Aprobación alta solicitud nivel 1 de 20 U externos  - A DESA3</t>
  </si>
  <si>
    <t>Aprobación alta solicitud nivel 2 de 20 U externos  - A DESA3</t>
  </si>
  <si>
    <t>Alta de 20 U externos - A DESA3</t>
  </si>
  <si>
    <t>Prueba alta de 20 U externos - A DESA2</t>
  </si>
  <si>
    <t>Solicitud baja 60 U desarrollo - DESA2</t>
  </si>
  <si>
    <t>Aprobacion solicitud 60 U desarrollo - DESA2</t>
  </si>
  <si>
    <t>Baja 60 U desarrollo - DESA2</t>
  </si>
  <si>
    <t>Prueba baja 60 U desarrollo - DESA2</t>
  </si>
  <si>
    <t>Relevamiento de necesidad A UAT</t>
  </si>
  <si>
    <t>Solicitud cotización licencia A UAT</t>
  </si>
  <si>
    <t>Aprobacion solicitud cotizacion A UAT</t>
  </si>
  <si>
    <t>Pedido de Cotizacion A UAT</t>
  </si>
  <si>
    <t>Recepción cotización A UAT</t>
  </si>
  <si>
    <t>Solicitud aprobacion cotizacion A UAT</t>
  </si>
  <si>
    <t>Aprobacion solicitud aprobacion cotizacion A UAT</t>
  </si>
  <si>
    <t>Aprobación cotización licencia A UAT</t>
  </si>
  <si>
    <t>Solicitud de analisis de viavilidad A UAT</t>
  </si>
  <si>
    <t>Aprobacion solicitud analisis de viabilidad A UAT</t>
  </si>
  <si>
    <t>Analisis de viavilidad A UAT</t>
  </si>
  <si>
    <t>Solicitud de compra licencia A UAT</t>
  </si>
  <si>
    <t>Aprobación solicitud compra licencia A UAT</t>
  </si>
  <si>
    <t>Compra licencia A UAT</t>
  </si>
  <si>
    <t>Recepción licencia A UAT</t>
  </si>
  <si>
    <t>Disponibilidad licencia A UAT</t>
  </si>
  <si>
    <t>Solicitud de creación A UAT</t>
  </si>
  <si>
    <t>Aprobación solicitud de creación A UAT</t>
  </si>
  <si>
    <t>Creación A UAT</t>
  </si>
  <si>
    <t>Prueba de creacion de A UAT</t>
  </si>
  <si>
    <t>Solicitud aseguramiento A UAT</t>
  </si>
  <si>
    <t>Aprobacion solicitud aseguramiento A UAT</t>
  </si>
  <si>
    <t>Aseguramiento A UAT</t>
  </si>
  <si>
    <t>Prueba de aseguramiento A UAT</t>
  </si>
  <si>
    <t>Solicitud conexion SIT - UAT</t>
  </si>
  <si>
    <t>Aprobacion conexion SIT - UAT</t>
  </si>
  <si>
    <t>Conexion SIT - UAT</t>
  </si>
  <si>
    <t>Prueba de conexion SIT - UAT</t>
  </si>
  <si>
    <t>Solicitud de alta U testing A UAT</t>
  </si>
  <si>
    <t>Aprobación solicitud alta U testing A UAT</t>
  </si>
  <si>
    <t>Alta U testing A UAT</t>
  </si>
  <si>
    <t>Prueba alta U testing A UAT</t>
  </si>
  <si>
    <t>Solicitud de alta U SI A UAT</t>
  </si>
  <si>
    <t>Aprobación solicitud alta U SI A UAT</t>
  </si>
  <si>
    <t>Alta U SI A UAT</t>
  </si>
  <si>
    <t>Prueba alta U SI A UAT</t>
  </si>
  <si>
    <t>U Funcionales</t>
  </si>
  <si>
    <t>Solicitud de alta U funcionales A UAT</t>
  </si>
  <si>
    <t>Aprobación solicitud alta U funcionales A UAT</t>
  </si>
  <si>
    <t>Alta U funcionales A UAT</t>
  </si>
  <si>
    <t>Prueba alta U funcionales A UAT</t>
  </si>
  <si>
    <t>U Admin</t>
  </si>
  <si>
    <t>Solicitud de alta U admisnitrativos A UAT</t>
  </si>
  <si>
    <t>Aprobación solicitud alta U admisnitrativos A UAT</t>
  </si>
  <si>
    <t>Alta U admisnitrativos A UAT</t>
  </si>
  <si>
    <t>Prueba alta U admisnitrativos A UAT</t>
  </si>
  <si>
    <t>Solicitud de alta U externos - A UAT</t>
  </si>
  <si>
    <t>Aprobación alta solicitud nivel 1 de U externos  - A UAT</t>
  </si>
  <si>
    <t>Aprobación alta solicitud nivel 2 de U externos  - A UAT</t>
  </si>
  <si>
    <t>Alta de U externos - A UAT</t>
  </si>
  <si>
    <t>Prueba alta de U externos - A UAT</t>
  </si>
  <si>
    <t>Modulo de Pagos</t>
  </si>
  <si>
    <t>Solicitud conexion Modulo pagos - A UAT</t>
  </si>
  <si>
    <t>Aprobacion solicitud conexion Modulo pagos - A UAT</t>
  </si>
  <si>
    <t>Conexion Modulo pagos - A UAT</t>
  </si>
  <si>
    <t>Prueba conexion Modulo pagos - A UAT</t>
  </si>
  <si>
    <t>Solicitud conexion A UAT - Modulo pagos</t>
  </si>
  <si>
    <t>Aprobacion solicitud conexion A UAT - Modulo pagos</t>
  </si>
  <si>
    <t>Conexion A UAT - Modulo pagos</t>
  </si>
  <si>
    <t>Prueba conexion A UAT - Modulo pagos</t>
  </si>
  <si>
    <t>Otorgamiento de permisos de usuario - Modulo pagos - A UAT</t>
  </si>
  <si>
    <t>Servicio de</t>
  </si>
  <si>
    <t>Solicitud conexion Servicio de envío de facturas - A UAT</t>
  </si>
  <si>
    <t xml:space="preserve"> envío de factura</t>
  </si>
  <si>
    <t>Aprobacion solicitud conexion Servicio de envío de facturas - A UAT</t>
  </si>
  <si>
    <t>Conexion Servicio de envío de facturas - A UAT</t>
  </si>
  <si>
    <t>Prueba conexion Servicio de envío de facturas - A UAT</t>
  </si>
  <si>
    <t>Solicitud conexion A UAT - Servicio de envío de facturas</t>
  </si>
  <si>
    <t>Aprobacion solicitud conexion A UAT - Servicio de envío de facturas</t>
  </si>
  <si>
    <t>Conexion A UAT - Servicio de envío de facturas</t>
  </si>
  <si>
    <t>Prueba conexion A UAT - Servicio de envío de facturas</t>
  </si>
  <si>
    <t>Otorgamiento de permisos de usuario - Servicio de envío de facturas - A UAT</t>
  </si>
  <si>
    <t>Inventario</t>
  </si>
  <si>
    <t xml:space="preserve">Solicitud conexion A UAT - Inventario </t>
  </si>
  <si>
    <t>Aprobacion solicitud conexion A UAT - Inventario</t>
  </si>
  <si>
    <t>Conexion A UAT - Inventario</t>
  </si>
  <si>
    <t>Prueba conexion A UAT - Inventario</t>
  </si>
  <si>
    <t>Solicitud conexion Inventario - A UAT</t>
  </si>
  <si>
    <t>Aprobacion solicitud conexion Inventario - A UAT</t>
  </si>
  <si>
    <t>Conexion Inventario - A UAT</t>
  </si>
  <si>
    <t>Prueba conexion Inventario - A UAT</t>
  </si>
  <si>
    <t>Otorgamiento de permisos de acceso usuario - Inventario - A UAT</t>
  </si>
  <si>
    <t>Materiales</t>
  </si>
  <si>
    <t>Solicitud conexion Materiales - A UAT</t>
  </si>
  <si>
    <t>Aprobacion solicitud conexion Materiales - A UAT</t>
  </si>
  <si>
    <t>Conexion Materiales - A UAT</t>
  </si>
  <si>
    <t>Prueba conexion Materiales - A UAT</t>
  </si>
  <si>
    <t>Solicitud conexion A UAT - Materiales</t>
  </si>
  <si>
    <t>Aprobacion solicitud conexion A UAT - Materiales</t>
  </si>
  <si>
    <t>Conexion A UAT -  Materiales</t>
  </si>
  <si>
    <t>Prueba conexion A UAT - Materiales</t>
  </si>
  <si>
    <t>Otorgamiento de permisos de usuario - Materiales - A UAT</t>
  </si>
  <si>
    <t>Modulo RRHH</t>
  </si>
  <si>
    <t>Solicitud conexion Modulo RRHH - A UAT</t>
  </si>
  <si>
    <t>Aprobacion solicitud conexion Modulo RRHH - A UAT</t>
  </si>
  <si>
    <t>Conexion Modulo RRHH - A UAT</t>
  </si>
  <si>
    <t>Prueba conexion Modulo RRHH - A UAT</t>
  </si>
  <si>
    <t>Solicitud conexion A UAT - Modulo RRHH</t>
  </si>
  <si>
    <t>Aprobacion solicitud conexion A UAT - Modulo RRHH</t>
  </si>
  <si>
    <t>Conexion A UAT -  Modulo RRHH</t>
  </si>
  <si>
    <t>Prueba conexion A UAT - Modulo RRHH</t>
  </si>
  <si>
    <t>Otorgamiento de permisos de usuario - Modulo RRHH - A UAT</t>
  </si>
  <si>
    <t>MDW</t>
  </si>
  <si>
    <t>Solicitud conexion A UAT - MDW (Contable)</t>
  </si>
  <si>
    <t>Contable</t>
  </si>
  <si>
    <t>Aprobacion solicitud conexion A UAT - MDW (Contable)</t>
  </si>
  <si>
    <t>Conexion A UAT -  MDW (Contable)</t>
  </si>
  <si>
    <t>Prueba conexion A UAT - MDW (Contable)</t>
  </si>
  <si>
    <t>Solicitud conexion MDW - Modulo contable</t>
  </si>
  <si>
    <t>Aprobacion solicitud conexion MDW - Modulo contable</t>
  </si>
  <si>
    <t>Conexion MDW -  Modulo contable</t>
  </si>
  <si>
    <t>Prueba conexion MDW - Modulo contable</t>
  </si>
  <si>
    <t>Solicitud conexion Modulo contable - MDW</t>
  </si>
  <si>
    <t>Aprobacion solicitud conexion Modulo contable - MDW</t>
  </si>
  <si>
    <t>Conexion Modulo contable - MDW</t>
  </si>
  <si>
    <t>Prueba conexion Modulo contable - MDW</t>
  </si>
  <si>
    <t>Solicitud conexion MDW (Contable)- A UAT</t>
  </si>
  <si>
    <t>Aprobacion solicitud conexion MDW (Contable) - A UAT</t>
  </si>
  <si>
    <t>Conexion MDW (Contable) - A UAT</t>
  </si>
  <si>
    <t>Prueba conexion MDW (Contable) - A UAT</t>
  </si>
  <si>
    <t>Solicitud de alta U MDW (Contable) A DRY_RUN</t>
  </si>
  <si>
    <t>Aprobación solicitud alta U MDW (Contable) A DRY_RUN</t>
  </si>
  <si>
    <t>Alta U MDW (Contable) A DRY_RUN</t>
  </si>
  <si>
    <t>Prueba alta U MDW (Contable) A DRY_RUN</t>
  </si>
  <si>
    <t>Solicitud conexion A UAT - MDW (Servicio técnico)</t>
  </si>
  <si>
    <t>Servicio tecnico</t>
  </si>
  <si>
    <t>Aprobacion solicitud conexion A UAT - MDW (Servicio técnico)</t>
  </si>
  <si>
    <t>Conexion A UAT -  MDW (Servicio técnico)</t>
  </si>
  <si>
    <t>Prueba conexion A UAT - MDW (Servicio técnico)</t>
  </si>
  <si>
    <t>Solicitud conexion MDW - Servicio técnico</t>
  </si>
  <si>
    <t>Aprobacion solicitud conexion MDW - Servicio técnico</t>
  </si>
  <si>
    <t>Conexion MDW -  Servicio técnico</t>
  </si>
  <si>
    <t>Prueba conexion MDW - Servicio técnico</t>
  </si>
  <si>
    <t>Solicitud conexion Servicio técnico - MDW</t>
  </si>
  <si>
    <t>Aprobacion solicitud conexion Servicio técnico - MDW</t>
  </si>
  <si>
    <t>Conexion Servicio técnico - MDW</t>
  </si>
  <si>
    <t>Prueba conexion Servicio técnico - MDW</t>
  </si>
  <si>
    <t>Solicitud conexion MDW (Servicio técnico)- A UAT</t>
  </si>
  <si>
    <t>Aprobacion solicitud conexion MDW (Servicio técnico) - A UAT</t>
  </si>
  <si>
    <t>Conexion MDW (Servicio técnico) - A UAT</t>
  </si>
  <si>
    <t>Prueba conexion MDW (Servicio técnico) - A UAT</t>
  </si>
  <si>
    <t>Solicitud de alta U MDW (Servicio técnico) A DRY_RUN</t>
  </si>
  <si>
    <t>Aprobación solicitud alta U MDW (Servicio técnico) A DRY_RUN</t>
  </si>
  <si>
    <t>Alta U MDW (Servicio técnico) A DRY_RUN</t>
  </si>
  <si>
    <t>Prueba alta U MDW (Servicio técnico) A DRY_RUN</t>
  </si>
  <si>
    <t>Solicitud conexion A UAT - MDW (Autenticación)</t>
  </si>
  <si>
    <t>Autenticación</t>
  </si>
  <si>
    <t>Aprobacion solicitud conexion A UAT - MDW (Autenticación)</t>
  </si>
  <si>
    <t>Conexion A UAT -  MDW (Autenticación)</t>
  </si>
  <si>
    <t>Prueba conexion A UAT - MDW (Autenticación)</t>
  </si>
  <si>
    <t>Solicitud conexion MDW - Autenticación</t>
  </si>
  <si>
    <t>Aprobacion solicitud conexion MDW - Autenticación</t>
  </si>
  <si>
    <t>Conexion MDW -  Autenticación</t>
  </si>
  <si>
    <t>Prueba conexion MDW - Autenticación</t>
  </si>
  <si>
    <t>Solicitud conexion Autenticación - MDW</t>
  </si>
  <si>
    <t>Aprobacion solicitud conexion Autenticación - MDW</t>
  </si>
  <si>
    <t>Conexion Autenticación - MDW</t>
  </si>
  <si>
    <t>Prueba conexion Autenticación - MDW</t>
  </si>
  <si>
    <t>Solicitud conexion MDW (Autenticación)- A UAT</t>
  </si>
  <si>
    <t>Aprobacion solicitud conexion MDW (Autenticación) - A UAT</t>
  </si>
  <si>
    <t>Conexion MDW (Autenticación) - A UAT</t>
  </si>
  <si>
    <t>Prueba conexion MDW (Autenticación) - A UAT</t>
  </si>
  <si>
    <t>Solicitud de alta U MDW (Autenticación) A UAT</t>
  </si>
  <si>
    <t>Aprobación solicitud alta U MDW (Autenticación) A UAT</t>
  </si>
  <si>
    <t>Alta U MDW (Autenticación) A UAT</t>
  </si>
  <si>
    <t>Prueba alta U MDW (Autenticación) A UAT</t>
  </si>
  <si>
    <t>Solicitud conexion A UAT - MDW (Modulo impuestos)</t>
  </si>
  <si>
    <t>Modulo</t>
  </si>
  <si>
    <t>Aprobacion solicitud conexion A UAT - MDW (Modulo impuestos)</t>
  </si>
  <si>
    <t>Impuestos</t>
  </si>
  <si>
    <t>Conexion A UAT -  MDW (Modulo impuestos)</t>
  </si>
  <si>
    <t>Prueba conexion A UAT - MDW (Modulo impuestos)</t>
  </si>
  <si>
    <t>Solicitud conexion MDW - Modulo impuestos</t>
  </si>
  <si>
    <t>Aprobacion solicitud conexion MDW - Modulo impuestos</t>
  </si>
  <si>
    <t>Conexion MDW -  Modulo impuestos</t>
  </si>
  <si>
    <t>Prueba conexion MDW - Modulo impuestos</t>
  </si>
  <si>
    <t>Solicitud conexion Modulo impuestos - MDW</t>
  </si>
  <si>
    <t>Aprobacion solicitud conexion Modulo impuestos - MDW</t>
  </si>
  <si>
    <t>Conexion Modulo impuestos - MDW</t>
  </si>
  <si>
    <t>Prueba conexion Modulo impuestos - MDW</t>
  </si>
  <si>
    <t>Solicitud conexion MDW (Modulo impuestos)- A UAT</t>
  </si>
  <si>
    <t>Aprobacion solicitud conexion MDW (Modulo impuestos) - A UAT</t>
  </si>
  <si>
    <t>Conexion MDW (Modulo impuestos) - A UAT</t>
  </si>
  <si>
    <t>Prueba conexion MDW (Modulo impuestos) - A UAT</t>
  </si>
  <si>
    <t>Solicitud de alta U MDW (Modulo impuestos) A UAT</t>
  </si>
  <si>
    <t>Aprobación solicitud alta U MDW (Modulo impuestos) A UAT</t>
  </si>
  <si>
    <t>Alta U MDW (Modulo impuestos) A UAT</t>
  </si>
  <si>
    <t>Prueba alta U MDW (Modulo impuestos) A UAT</t>
  </si>
  <si>
    <t>Reaseguramiento</t>
  </si>
  <si>
    <t>Solicitud Reaseguramient A UAT</t>
  </si>
  <si>
    <t>Aprobacion solicitud Reaseguramient A UAT</t>
  </si>
  <si>
    <t>Reaseguramient A UAT</t>
  </si>
  <si>
    <t>Prueba de Reaseguramient A UAT</t>
  </si>
  <si>
    <t>Relevamiento DOIT</t>
  </si>
  <si>
    <t>Relevamiento System promotion</t>
  </si>
  <si>
    <t>Relevamiento Harvest</t>
  </si>
  <si>
    <t>DESA 1</t>
  </si>
  <si>
    <t>Solicitud de alta U DOIT - A DESA1</t>
  </si>
  <si>
    <t>Aprobación alta solicitud nivel 1 U DOIT - A DESA1</t>
  </si>
  <si>
    <t>Aprobación alta solicitud nivel 2 U DOIT - A DESA1</t>
  </si>
  <si>
    <t>Alta U DOIT - A DESA1</t>
  </si>
  <si>
    <t>Prueba alta U DOIT - A DESA1</t>
  </si>
  <si>
    <t>Solicitud instalación DOIT – DESA1</t>
  </si>
  <si>
    <t>Aprobación solicitud instalación DOIT – DESA1</t>
  </si>
  <si>
    <t>Instalación DOIT – DESA1</t>
  </si>
  <si>
    <t>Prueba instalación DOIT – DESA1</t>
  </si>
  <si>
    <t>Solicitud de alta U System promotion - A DESA1</t>
  </si>
  <si>
    <t>Aprobación alta solicitud nivel 1 U System promotion - A DESA1</t>
  </si>
  <si>
    <t>Aprobación alta solicitud nivel 2 U System promotion - A DESA1</t>
  </si>
  <si>
    <t>Alta U System promotion - A DESA1</t>
  </si>
  <si>
    <t>Prueba alta U System promotion - A DESA1</t>
  </si>
  <si>
    <t>Solicitud instalación System promotion – DESA1</t>
  </si>
  <si>
    <t>Aprobación solicitud instalación System promotion – DESA1</t>
  </si>
  <si>
    <t>Instalación System promotion – DESA1</t>
  </si>
  <si>
    <t>Prueba instalación System promotion – DESA1</t>
  </si>
  <si>
    <t>Solicitud de alta U Harvest - A DESA1</t>
  </si>
  <si>
    <t>Aprobación alta solicitud nivel 1 U Harvest - A DESA1</t>
  </si>
  <si>
    <t>Aprobación alta solicitud nivel 2 U Harvest - A DESA1</t>
  </si>
  <si>
    <t>Alta U Harvest - A DESA1</t>
  </si>
  <si>
    <t>Prueba alta U Harvest - A DESA1</t>
  </si>
  <si>
    <t>Solicitud instalación Harvest – DESA1</t>
  </si>
  <si>
    <t>Aprobación solicitud instalación Harvest – DESA1</t>
  </si>
  <si>
    <t>Instalación Harvest – DESA1</t>
  </si>
  <si>
    <t>Prueba instalación Harvest – DESA1</t>
  </si>
  <si>
    <t>DEMO</t>
  </si>
  <si>
    <t>Solicitud de alta U DOIT - A DEMO</t>
  </si>
  <si>
    <t>Aprobación alta solicitud nivel 1 U DOIT - A DEMO</t>
  </si>
  <si>
    <t>Aprobación alta solicitud nivel 2 U DOIT - A DEMO</t>
  </si>
  <si>
    <t>Alta U DOIT - A DEMO</t>
  </si>
  <si>
    <t>Prueba alta U DOIT - A DEMO</t>
  </si>
  <si>
    <t>Solicitud instalación DOIT – DEMO</t>
  </si>
  <si>
    <t>Aprobación solicitud instalación DOIT – DEMO</t>
  </si>
  <si>
    <t>Instalación DOIT – DEMO</t>
  </si>
  <si>
    <t>Prueba instalación DOIT – DEMO</t>
  </si>
  <si>
    <t>Solicitud de alta U System promotion - A DEMO</t>
  </si>
  <si>
    <t>Aprobación alta solicitud nivel 1 U System promotion - A DEMO</t>
  </si>
  <si>
    <t>Aprobación alta solicitud nivel 2 U System promotion - A DEMO</t>
  </si>
  <si>
    <t>Alta U System promotion - A DEMO</t>
  </si>
  <si>
    <t>Prueba alta U System promotion - A DEMO</t>
  </si>
  <si>
    <t>Solicitud instalación System promotion – DEMO</t>
  </si>
  <si>
    <t>Aprobación solicitud instalación System promotion – DEMO</t>
  </si>
  <si>
    <t>Instalación System promotion – DEMO</t>
  </si>
  <si>
    <t>Prueba instalación System promotion – DEMO</t>
  </si>
  <si>
    <t>Solicitud de alta U Harvest - A DEMO</t>
  </si>
  <si>
    <t>Aprobación alta solicitud nivel 1 U Harvest - A DEMO</t>
  </si>
  <si>
    <t>Aprobación alta solicitud nivel 2 U Harvest - A DEMO</t>
  </si>
  <si>
    <t>Alta U Harvest - A DEMO</t>
  </si>
  <si>
    <t>Prueba alta U Harvest - A DEMO</t>
  </si>
  <si>
    <t>Solicitud instalación Harvest – DEMO</t>
  </si>
  <si>
    <t>Aprobación solicitud instalación Harvest – DEMO</t>
  </si>
  <si>
    <t>Instalación Harvest – DEMO</t>
  </si>
  <si>
    <t>Prueba instalación Harvest – DEMO</t>
  </si>
  <si>
    <t>SIT</t>
  </si>
  <si>
    <t>Solicitud de alta U DOIT - A SIT</t>
  </si>
  <si>
    <t>Aprobación alta solicitud nivel 1 U DOIT - A SIT</t>
  </si>
  <si>
    <t>Aprobación alta solicitud nivel 2 U DOIT - A SIT</t>
  </si>
  <si>
    <t>Alta U DOIT - A SIT</t>
  </si>
  <si>
    <t>Prueba alta U DOIT - A SIT</t>
  </si>
  <si>
    <t>Solicitud instalación DOIT – SIT</t>
  </si>
  <si>
    <t>Aprobación solicitud instalación DOIT – SIT</t>
  </si>
  <si>
    <t>Instalación DOIT – SIT</t>
  </si>
  <si>
    <t>Prueba instalación DOIT – SIT</t>
  </si>
  <si>
    <t>Solicitud de alta U System promotion - A SIT</t>
  </si>
  <si>
    <t>Aprobación alta solicitud nivel 1 U System promotion - A SIT</t>
  </si>
  <si>
    <t>Aprobación alta solicitud nivel 2 U System promotion - A SIT</t>
  </si>
  <si>
    <t>Alta U System promotion - A SIT</t>
  </si>
  <si>
    <t>Prueba alta U System promotion - A SIT</t>
  </si>
  <si>
    <t>Solicitud instalación System promotion – SIT</t>
  </si>
  <si>
    <t>Aprobación solicitud instalación System promotion – SIT</t>
  </si>
  <si>
    <t>Instalación System promotion – SIT</t>
  </si>
  <si>
    <t>Prueba instalación System promotion – SIT</t>
  </si>
  <si>
    <t>Solicitud de alta U Harvest - A SIT</t>
  </si>
  <si>
    <t>Aprobación alta solicitud nivel 1 U Harvest - A SIT</t>
  </si>
  <si>
    <t>Aprobación alta solicitud nivel 2 U Harvest - A SIT</t>
  </si>
  <si>
    <t>Alta U Harvest - A SIT</t>
  </si>
  <si>
    <t>Prueba alta U Harvest - A SIT</t>
  </si>
  <si>
    <t>Solicitud instalación Harvest – SIT</t>
  </si>
  <si>
    <t>Aprobación solicitud instalación Harvest – SIT</t>
  </si>
  <si>
    <t>Instalación Harvest – SIT</t>
  </si>
  <si>
    <t>Prueba instalación Harvest – SIT</t>
  </si>
  <si>
    <t>UAT</t>
  </si>
  <si>
    <t>Solicitud de alta U DOIT - A UAT</t>
  </si>
  <si>
    <t>Aprobación alta solicitud nivel 1 U DOIT - A UAT</t>
  </si>
  <si>
    <t>Aprobación alta solicitud nivel 2 U DOIT - A UAT</t>
  </si>
  <si>
    <t>Alta U DOIT - A UAT</t>
  </si>
  <si>
    <t>Prueba alta U DOIT - A UAT</t>
  </si>
  <si>
    <t>Solicitud instalación DOIT – UAT</t>
  </si>
  <si>
    <t>Aprobación solicitud instalación DOIT – UAT</t>
  </si>
  <si>
    <t>Instalación DOIT – UAT</t>
  </si>
  <si>
    <t>Prueba instalación DOIT – UAT</t>
  </si>
  <si>
    <t>Solicitud de alta U System promotion - A UAT</t>
  </si>
  <si>
    <t>Aprobación alta solicitud nivel 1 U System promotion - A UAT</t>
  </si>
  <si>
    <t>Aprobación alta solicitud nivel 2 U System promotion - A UAT</t>
  </si>
  <si>
    <t>Alta U System promotion - A UAT</t>
  </si>
  <si>
    <t>Prueba alta U System promotion - A UAT</t>
  </si>
  <si>
    <t>Solicitud instalación System promotion – UAT</t>
  </si>
  <si>
    <t>Aprobación solicitud instalación System promotion – UAT</t>
  </si>
  <si>
    <t>Instalación System promotion – UAT</t>
  </si>
  <si>
    <t>Prueba instalación System promotion – UAT</t>
  </si>
  <si>
    <t>Solicitud de alta U Harvest - A UAT</t>
  </si>
  <si>
    <t>Aprobación alta solicitud nivel 1 U Harvest - A UAT</t>
  </si>
  <si>
    <t>Aprobación alta solicitud nivel 2 U Harvest - A UAT</t>
  </si>
  <si>
    <t>Alta U Harvest - A UAT</t>
  </si>
  <si>
    <t>Prueba alta U Harvest - A UAT</t>
  </si>
  <si>
    <t>Solicitud instalación Harvest – UAT</t>
  </si>
  <si>
    <t>Aprobación solicitud instalación Harvest – UAT</t>
  </si>
  <si>
    <t>Instalación Harvest – UAT</t>
  </si>
  <si>
    <t>Prueba instalación Harvest – UAT</t>
  </si>
  <si>
    <t>DESA 2</t>
  </si>
  <si>
    <t>Solicitud de alta U DOIT - A DESA2</t>
  </si>
  <si>
    <t>Aprobación alta solicitud nivel 1 U DOIT - A DESA2</t>
  </si>
  <si>
    <t>Aprobación alta solicitud nivel 2 U DOIT - A DESA2</t>
  </si>
  <si>
    <t>Alta U DOIT - A DESA2</t>
  </si>
  <si>
    <t>Prueba alta U DOIT - A DESA2</t>
  </si>
  <si>
    <t>Solicitud instalación DOIT – DESA2</t>
  </si>
  <si>
    <t>Aprobación solicitud instalación DOIT – DESA2</t>
  </si>
  <si>
    <t>Instalación DOIT – DESA2</t>
  </si>
  <si>
    <t>Prueba instalación DOIT – DESA2</t>
  </si>
  <si>
    <t>Solicitud de alta U System promotion - A DESA2</t>
  </si>
  <si>
    <t>Aprobación alta solicitud nivel 1 U System promotion - A DESA2</t>
  </si>
  <si>
    <t>Aprobación alta solicitud nivel 2 U System promotion - A DESA2</t>
  </si>
  <si>
    <t>Alta U System promotion - A DESA2</t>
  </si>
  <si>
    <t>Prueba alta U System promotion - A DESA2</t>
  </si>
  <si>
    <t>Solicitud instalación System promotion – DESA2</t>
  </si>
  <si>
    <t>Aprobación solicitud instalación System promotion – DESA2</t>
  </si>
  <si>
    <t>Instalación System promotion – DESA2</t>
  </si>
  <si>
    <t>Prueba instalación System promotion – DESA2</t>
  </si>
  <si>
    <t>Solicitud de alta U Harvest - A DESA2</t>
  </si>
  <si>
    <t>Aprobación alta solicitud nivel 1 U Harvest - A DESA2</t>
  </si>
  <si>
    <t>Aprobación alta solicitud nivel 2 U Harvest - A DESA2</t>
  </si>
  <si>
    <t>Alta U Harvest - A DESA2</t>
  </si>
  <si>
    <t>Prueba alta U Harvest - A DESA2</t>
  </si>
  <si>
    <t>Solicitud instalación Harvest – DESA2</t>
  </si>
  <si>
    <t>Aprobación solicitud instalación Harvest – DESA2</t>
  </si>
  <si>
    <t>Instalación Harvest – DESA2</t>
  </si>
  <si>
    <t>Prueba instalación Harvest – DESA2</t>
  </si>
  <si>
    <t>DESA 3</t>
  </si>
  <si>
    <t>Solicitud de alta U DOIT - A DESA3</t>
  </si>
  <si>
    <t>Aprobación alta solicitud nivel 1 U DOIT - A DESA3</t>
  </si>
  <si>
    <t>Aprobación alta solicitud nivel 2 U DOIT - A DESA3</t>
  </si>
  <si>
    <t>Alta U DOIT - A DESA3</t>
  </si>
  <si>
    <t>Prueba alta U DOIT - A DESA3</t>
  </si>
  <si>
    <t>Solicitud instalación DOIT – DESA3</t>
  </si>
  <si>
    <t>Aprobación solicitud instalación DOIT – DESA3</t>
  </si>
  <si>
    <t>Instalación DOIT – DESA3</t>
  </si>
  <si>
    <t>Prueba instalación DOIT – DESA3</t>
  </si>
  <si>
    <t>Solicitud de alta U System promotion - A DESA3</t>
  </si>
  <si>
    <t>Aprobación alta solicitud nivel 1 U System promotion - A DESA3</t>
  </si>
  <si>
    <t>Aprobación alta solicitud nivel 2 U System promotion - A DESA3</t>
  </si>
  <si>
    <t>Alta U System promotion - A DESA3</t>
  </si>
  <si>
    <t>Prueba alta U System promotion - A DESA3</t>
  </si>
  <si>
    <t>Solicitud instalación System promotion – DESA3</t>
  </si>
  <si>
    <t>Aprobación solicitud instalación System promotion – DESA3</t>
  </si>
  <si>
    <t>Instalación System promotion – DESA3</t>
  </si>
  <si>
    <t>Prueba instalación System promotion – DESA3</t>
  </si>
  <si>
    <t>Solicitud de alta U Harvest - A DESA3</t>
  </si>
  <si>
    <t>Aprobación alta solicitud nivel 1 U Harvest - A DESA3</t>
  </si>
  <si>
    <t>Aprobación alta solicitud nivel 2 U Harvest - A DESA3</t>
  </si>
  <si>
    <t>Alta U Harvest - A DESA3</t>
  </si>
  <si>
    <t>Prueba alta U Harvest - A DESA3</t>
  </si>
  <si>
    <t>Solicitud instalación Harvest – DESA3</t>
  </si>
  <si>
    <t>Aprobación solicitud instalación Harvest – DESA3</t>
  </si>
  <si>
    <t>Instalación Harvest – DESA3</t>
  </si>
  <si>
    <t>Prueba instalación Harvest – DESA3</t>
  </si>
  <si>
    <t>Promocion de</t>
  </si>
  <si>
    <t>Solicitud configuracion sistem promotion DESA 1 - DEMO</t>
  </si>
  <si>
    <t>Codigo DESA 1</t>
  </si>
  <si>
    <t>Aprobacion de solicitud configuracion sistem promotion DESA 1 - DEMO</t>
  </si>
  <si>
    <t>Configuracion sistem promotion DESA 1 - DEMO</t>
  </si>
  <si>
    <t>Prueba configuracion sistem promotion DESA 1 - DEMO</t>
  </si>
  <si>
    <t>Solicitud promocion codigo A DESA1 - DEMO</t>
  </si>
  <si>
    <t>Aprobacion solicitud promocion codigo A DESA1 - DEMO</t>
  </si>
  <si>
    <t>Promocion codigo A DESA1 - DEMO</t>
  </si>
  <si>
    <t>Prueba promocion codigo A DESA1 - DEMO</t>
  </si>
  <si>
    <t>Solicitud configuracion sistem promotion DEMO - SIT (D1)</t>
  </si>
  <si>
    <t>Aprobacion de solicitud configuracion sistem promotion DEMO - SIT (D1)</t>
  </si>
  <si>
    <t>Configuracion sistem promotion DEMO - SIT (D1)</t>
  </si>
  <si>
    <t>Prueba configuracion sistem promotion DEMO - SIT (D1)</t>
  </si>
  <si>
    <t>Solicitud promocion codigo A DEMO - SIT (D1)</t>
  </si>
  <si>
    <t>Aprobacion solicitud promocion codigo A DEMO - SIT (D1)</t>
  </si>
  <si>
    <t>Promocion codigo A DEMO - SIT (D1)</t>
  </si>
  <si>
    <t>Prueba promocion codigo A DEMO - SIT (D1)</t>
  </si>
  <si>
    <t>Solicitud configuracion sistem promotion SIT - UAT (D1)</t>
  </si>
  <si>
    <t>Aprobacion de solicitud configuracion sistem promotion SIT - UAT (D1)</t>
  </si>
  <si>
    <t>Configuracion sistem promotion SIT - UAT (D1)</t>
  </si>
  <si>
    <t>Prueba configuracion sistem promotion SIT - UAT (D1)</t>
  </si>
  <si>
    <t>Solicitud promocion codigo A SIT - UAT (D1)</t>
  </si>
  <si>
    <t>Aprobacion solicitud promocion codigo A SIT - UAT (D1)</t>
  </si>
  <si>
    <t>Promocion codigo A SIT - UAT (D1)</t>
  </si>
  <si>
    <t>Prueba promocion codigo A SIT - UAT (D1)</t>
  </si>
  <si>
    <t>Solicitud configuracion sistem promotion UAT - PROD (D1)</t>
  </si>
  <si>
    <t>Aprobacion de solicitud configuracion sistem promotion UAT - PROD (D1)</t>
  </si>
  <si>
    <t>Configuracion sistem promotion UAT - PROD (D1)</t>
  </si>
  <si>
    <t>Prueba configuracion sistem promotion UAT - PROD (D1)</t>
  </si>
  <si>
    <t>Solicitud promocion codigo A UAT - PROD (D1)</t>
  </si>
  <si>
    <t>Aprobacion solicitud promocion codigo A UAT - PROD (D1)</t>
  </si>
  <si>
    <t>Promocion codigo A UAT - PROD (D1)</t>
  </si>
  <si>
    <t>Prueba promocion codigo A UAT - PROD (D1)</t>
  </si>
  <si>
    <t>Solicitud configuracion sistem promotion DESA 2 - DEMO</t>
  </si>
  <si>
    <t>Codigo DESA 2</t>
  </si>
  <si>
    <t>Aprobacion de solicitud configuracion sistem promotion DESA 2 - DEMO</t>
  </si>
  <si>
    <t>Configuracion sistem promotion DESA 2 - DEMO</t>
  </si>
  <si>
    <t>Prueba configuracion sistem promotion DESA 2 - DEMO</t>
  </si>
  <si>
    <t>Solicitud promocion codigo A DESA2 - DEMO</t>
  </si>
  <si>
    <t>Aprobacion solicitud promocion codigo A DESA2 - DEMO</t>
  </si>
  <si>
    <t>Promocion codigo A DESA2 - DEMO</t>
  </si>
  <si>
    <t>Prueba promocion codigo A DESA2 - DEMO</t>
  </si>
  <si>
    <t>Solicitud configuracion sistem promotion DEMO - SIT (D2)</t>
  </si>
  <si>
    <t>Aprobacion de solicitud configuracion sistem promotion DEMO - SIT (D2)</t>
  </si>
  <si>
    <t>Configuracion sistem promotion DEMO - SIT (D2)</t>
  </si>
  <si>
    <t>Prueba configuracion sistem promotion DEMO - SIT (D2)</t>
  </si>
  <si>
    <t>Solicitud promocion codigo A DEMO - SIT (D2)</t>
  </si>
  <si>
    <t>Aprobacion solicitud promocion codigo A DEMO - SIT (D2)</t>
  </si>
  <si>
    <t>Promocion codigo A DEMO - SIT (D2)</t>
  </si>
  <si>
    <t>Prueba promocion codigo A DEMO - SIT (D2)</t>
  </si>
  <si>
    <t>Solicitud configuracion sistem promotion SIT - UAT (D2)</t>
  </si>
  <si>
    <t>Aprobacion de solicitud configuracion sistem promotion SIT - UAT (D2)</t>
  </si>
  <si>
    <t>Configuracion sistem promotion SIT - UAT (D2)</t>
  </si>
  <si>
    <t>Prueba configuracion sistem promotion SIT - UAT (D2)</t>
  </si>
  <si>
    <t>Solicitud promocion codigo A SIT - UAT (D2)</t>
  </si>
  <si>
    <t>Aprobacion solicitud promocion codigo A SIT - UAT (D2)</t>
  </si>
  <si>
    <t>Promocion codigo A SIT - UAT (D2)</t>
  </si>
  <si>
    <t>Prueba promocion codigo A SIT - UAT (D2)</t>
  </si>
  <si>
    <t>Solicitud configuracion sistem promotion UAT - PROD (D2)</t>
  </si>
  <si>
    <t>Aprobacion de solicitud configuracion sistem promotion UAT - PROD (D2)</t>
  </si>
  <si>
    <t>Configuracion sistem promotion UAT - PROD (D2)</t>
  </si>
  <si>
    <t>Prueba configuracion sistem promotion UAT - PROD (D2)</t>
  </si>
  <si>
    <t>Solicitud promocion codigo A UAT - PROD (D2)</t>
  </si>
  <si>
    <t>Aprobacion solicitud promocion codigo A UAT - PROD (D2)</t>
  </si>
  <si>
    <t>Promocion codigo A UAT - PROD (D2)</t>
  </si>
  <si>
    <t>Prueba promocion codigo A UAT - PROD (D2)</t>
  </si>
  <si>
    <t>Solicitud configuracion sistem promotion DESA 3 - DEMO</t>
  </si>
  <si>
    <t>Codigo DESA 3</t>
  </si>
  <si>
    <t>Aprobacion de solicitud configuracion sistem promotion DESA 3 - DEMO</t>
  </si>
  <si>
    <t>Configuracion sistem promotion DESA 3 - DEMO</t>
  </si>
  <si>
    <t>Prueba configuracion sistem promotion DESA 3- DEMO</t>
  </si>
  <si>
    <t>Solicitud promocion codigo A DESA 3 - DEMO</t>
  </si>
  <si>
    <t>Aprobacion solicitud promocion codigo A DESA 3 - DEMO</t>
  </si>
  <si>
    <t>Promocion codigo A DESA 3 - DEMO</t>
  </si>
  <si>
    <t>Prueba promocion codigo A DESA 3- DEMO</t>
  </si>
  <si>
    <t>Solicitud configuracion sistem promotion DEMO - SIT (D3)</t>
  </si>
  <si>
    <t>Aprobacion de solicitud configuracion sistem promotion DEMO - SIT (D3)</t>
  </si>
  <si>
    <t>Configuracion sistem promotion DEMO - SIT (D3)</t>
  </si>
  <si>
    <t>Prueba configuracion sistem promotion DEMO - SIT (D3)</t>
  </si>
  <si>
    <t>Solicitud promocion codigo A DEMO - SIT (D3)</t>
  </si>
  <si>
    <t>Aprobacion solicitud promocion codigo A DEMO - SIT (D3)</t>
  </si>
  <si>
    <t>Promocion codigo A DEMO - SIT (D3)</t>
  </si>
  <si>
    <t>Prueba promocion codigo A DEMO - SIT (D3)</t>
  </si>
  <si>
    <t>Solicitud configuracion sistem promotion SIT - UAT (D3)</t>
  </si>
  <si>
    <t>Aprobacion de solicitud configuracion sistem promotion SIT - UAT (D3)</t>
  </si>
  <si>
    <t>Configuracion sistem promotion SIT - UAT (D3)</t>
  </si>
  <si>
    <t>Prueba configuracion sistem promotion SIT - UAT (D3)</t>
  </si>
  <si>
    <t>Solicitud promocion codigo A SIT - UAT (D3)</t>
  </si>
  <si>
    <t>Aprobacion solicitud promocion codigo A SIT - UAT (D3)</t>
  </si>
  <si>
    <t>Promocion codigo A SIT - UAT (D3)</t>
  </si>
  <si>
    <t>Prueba promocion codigo A SIT - UAT (D3)</t>
  </si>
  <si>
    <t>Solicitud configuracion sistem promotion UAT - PROD (D3)</t>
  </si>
  <si>
    <t>Aprobacion de solicitud configuracion sistem promotion UAT - PROD (D3)</t>
  </si>
  <si>
    <t>Configuracion sistem promotion UAT - PROD (D3)</t>
  </si>
  <si>
    <t>Prueba configuracion sistem promotion UAT - PROD (D3)</t>
  </si>
  <si>
    <t>Solicitud promocion codigo A UAT - PROD (D3)</t>
  </si>
  <si>
    <t>Aprobacion solicitud promocion codigo A UAT - PROD (D3)</t>
  </si>
  <si>
    <t>Promocion codigo A UAT - PROD (D3)</t>
  </si>
  <si>
    <t>Prueba promocion codigo A UAT - PROD (D3)</t>
  </si>
  <si>
    <t>Solicitud limpieza A DEMO</t>
  </si>
  <si>
    <t>Aprobacion solicitud limpieza A DEMO</t>
  </si>
  <si>
    <t>Limpieza A DEMO</t>
  </si>
  <si>
    <t>Prueba limpieza A DEMO</t>
  </si>
  <si>
    <t>Solicitud limpieza A SIT</t>
  </si>
  <si>
    <t>Aprobacion solicitud limpieza A SIT</t>
  </si>
  <si>
    <t>Limpieza A SIT</t>
  </si>
  <si>
    <t>Prueba limpieza A SIT</t>
  </si>
  <si>
    <t>Solicitud limpieza A UAT</t>
  </si>
  <si>
    <t>Aprobacion solicitud limpieza A UAT</t>
  </si>
  <si>
    <t>Limpieza A UAT</t>
  </si>
  <si>
    <t>Prueba limpieza A UAT</t>
  </si>
  <si>
    <t>Baja DESA1</t>
  </si>
  <si>
    <t>Solicitud baja U DOIT - DESA1</t>
  </si>
  <si>
    <t>Aprobacion solicitud baja U DOIT - DESA1</t>
  </si>
  <si>
    <t>Baja U DOIT - DESA1</t>
  </si>
  <si>
    <t>Prueba baja U DOIT - DESA1</t>
  </si>
  <si>
    <t>Solicitud baja U System promotion - DESA1</t>
  </si>
  <si>
    <t>Aprobacion solicitud baja U System promotion - DESA1</t>
  </si>
  <si>
    <t>Baja U System promotion - DESA1</t>
  </si>
  <si>
    <t>Prueba baja U System promotion - DESA1</t>
  </si>
  <si>
    <t>Solicitud baja U Harvest - DESA1</t>
  </si>
  <si>
    <t>Aprobacion solicitud baja U Harvest - DESA1</t>
  </si>
  <si>
    <t>Baja U Harvest - DESA1</t>
  </si>
  <si>
    <t>Prueba baja U Harvest - DESA1</t>
  </si>
  <si>
    <t>Baja DESA2</t>
  </si>
  <si>
    <t>Solicitud baja U DOIT - DESA2</t>
  </si>
  <si>
    <t>Aprobacion solicitud baja U DOIT - DESA2</t>
  </si>
  <si>
    <t>Baja U DOIT - DESA2</t>
  </si>
  <si>
    <t>Prueba baja U DOIT - DESA2</t>
  </si>
  <si>
    <t>Solicitud baja U System promotion - DESA2</t>
  </si>
  <si>
    <t>Aprobacion solicitud baja U System promotion - DESA2</t>
  </si>
  <si>
    <t>Baja U System promotion - DESA2</t>
  </si>
  <si>
    <t>Prueba baja U System promotion - DESA2</t>
  </si>
  <si>
    <t>Solicitud baja U Harvest - DESA2</t>
  </si>
  <si>
    <t>Aprobacion solicitud baja U Harvest - DESA2</t>
  </si>
  <si>
    <t>Baja U Harvest - DESA2</t>
  </si>
  <si>
    <t>Prueba baja U Harvest - DESA2</t>
  </si>
  <si>
    <t>Baja DESA3</t>
  </si>
  <si>
    <t>Solicitud baja U DOIT - DESA3</t>
  </si>
  <si>
    <t>Aprobacion solicitud baja U DOIT - DESA3</t>
  </si>
  <si>
    <t>Baja U DOIT - DESA3</t>
  </si>
  <si>
    <t>Prueba baja U DOIT - DESA3</t>
  </si>
  <si>
    <t>Solicitud baja U System promotion - DESA3</t>
  </si>
  <si>
    <t>Aprobacion solicitud baja U System promotion - DESA3</t>
  </si>
  <si>
    <t>Baja U System promotion - DESA3</t>
  </si>
  <si>
    <t>Prueba baja U System promotion - DESA3</t>
  </si>
  <si>
    <t>Solicitud baja U Harvest - DESA3</t>
  </si>
  <si>
    <t>Aprobacion solicitud baja U Harvest - DESA3</t>
  </si>
  <si>
    <t>Baja U Harvest - DESA3</t>
  </si>
  <si>
    <t>Prueba baja U Harvest - DESA3</t>
  </si>
  <si>
    <t>Baja DEMO</t>
  </si>
  <si>
    <t>Solicitud baja U DOIT - DEMO</t>
  </si>
  <si>
    <t>Aprobacion solicitud baja U DOIT - DEMO</t>
  </si>
  <si>
    <t>Baja U DOIT - DEMO</t>
  </si>
  <si>
    <t>Prueba baja U DOIT - DEMO</t>
  </si>
  <si>
    <t>Solicitud baja U System promotion - DEMO</t>
  </si>
  <si>
    <t>Aprobacion solicitud baja U System promotion - DEMO</t>
  </si>
  <si>
    <t>Baja U System promotion - DEMO</t>
  </si>
  <si>
    <t>Prueba baja U System promotion - DEMO</t>
  </si>
  <si>
    <t>Solicitud baja U Harvest - DEMO</t>
  </si>
  <si>
    <t>Aprobacion solicitud baja U Harvest - DEMO</t>
  </si>
  <si>
    <t>Baja U Harvest - DEMO</t>
  </si>
  <si>
    <t>Prueba baja U Harvest - DEMO</t>
  </si>
  <si>
    <t>Baja SIT</t>
  </si>
  <si>
    <t>Solicitud baja U DOIT - SIT</t>
  </si>
  <si>
    <t>Aprobacion solicitud baja U DOIT - SIT</t>
  </si>
  <si>
    <t>Baja U DOIT - SIT</t>
  </si>
  <si>
    <t>Prueba baja U DOIT - SIT</t>
  </si>
  <si>
    <t>Solicitud baja U System promotion - SIT</t>
  </si>
  <si>
    <t>Aprobacion solicitud baja U System promotion - SIT</t>
  </si>
  <si>
    <t>Baja U System promotion - SIT</t>
  </si>
  <si>
    <t>Prueba baja U System promotion - SIT</t>
  </si>
  <si>
    <t>Solicitud baja U Harvest - SIT</t>
  </si>
  <si>
    <t>Aprobacion solicitud baja U Harvest - SIT</t>
  </si>
  <si>
    <t>Baja U Harvest - SIT</t>
  </si>
  <si>
    <t>Prueba baja U Harvest - SIT</t>
  </si>
  <si>
    <t>Baja UAT</t>
  </si>
  <si>
    <t>Solicitud baja U DOIT - UAT</t>
  </si>
  <si>
    <t>Aprobacion solicitud baja U DOIT - UAT</t>
  </si>
  <si>
    <t>Baja U DOIT - UAT</t>
  </si>
  <si>
    <t>Prueba baja U DOIT - UAT</t>
  </si>
  <si>
    <t>Solicitud baja U System promotion - UAT</t>
  </si>
  <si>
    <t>Aprobacion solicitud baja U System promotion - UAT</t>
  </si>
  <si>
    <t>Baja U System promotion - UAT</t>
  </si>
  <si>
    <t>Prueba baja U System promotion - UAT</t>
  </si>
  <si>
    <t>Solicitud baja U Harvest - UAT</t>
  </si>
  <si>
    <t>Aprobacion solicitud baja U Harvest - UAT</t>
  </si>
  <si>
    <t>Baja U Harvest - UAT</t>
  </si>
  <si>
    <t>Prueba baja U Harvest - UAT</t>
  </si>
  <si>
    <t>Relevamiento necesidad conexion</t>
  </si>
  <si>
    <t>Relevamiento necesidad DRY_RAN</t>
  </si>
  <si>
    <t>Relevamiento U Modulos</t>
  </si>
  <si>
    <t>Solicitud cotización licencia full</t>
  </si>
  <si>
    <t>Aprobacion solicitud cotizacion licencia full</t>
  </si>
  <si>
    <t>Pedido de Cotizacion licencia full</t>
  </si>
  <si>
    <t>Recepción cotización licencia full</t>
  </si>
  <si>
    <t>Solicitud aprobacion cotizacion licencia full</t>
  </si>
  <si>
    <t>Aprobacion solicitud aprobacion cotizacion licencia full</t>
  </si>
  <si>
    <t>Aprobación cotización licencia licencia full</t>
  </si>
  <si>
    <t>Solicitud de analisis de viavilidad</t>
  </si>
  <si>
    <t>Aprobacion solicitud analisis de viabilidad</t>
  </si>
  <si>
    <t>Analisis de viavilidad</t>
  </si>
  <si>
    <t>Solicitud de compra licencia full</t>
  </si>
  <si>
    <t>Aprobación solicitud compra licencia full</t>
  </si>
  <si>
    <t>Compra licencia full</t>
  </si>
  <si>
    <t>Recepción licencia full</t>
  </si>
  <si>
    <t>Disponibilidad licencia full</t>
  </si>
  <si>
    <t>Solicitud desconexion A SIT - UAT</t>
  </si>
  <si>
    <t>Aprobacion solicitud desconexion A SIT - UAT</t>
  </si>
  <si>
    <t>Desconexion A SIT - UAT</t>
  </si>
  <si>
    <t>Prueba desconexion A SIT - UAT</t>
  </si>
  <si>
    <t>Solicitud desconexion A UAT - PROD</t>
  </si>
  <si>
    <t>Aprobacion solicitud desconexion A UAT - PROD</t>
  </si>
  <si>
    <t>PROD</t>
  </si>
  <si>
    <t>Desconexion A UAT - PROD</t>
  </si>
  <si>
    <t>Prueba desconexion A UAT - PROD</t>
  </si>
  <si>
    <t xml:space="preserve">Solicitud desconexion A UAT - Modulo pagos </t>
  </si>
  <si>
    <t>Modulo pagos</t>
  </si>
  <si>
    <t xml:space="preserve">Aprobacion solicitud desconexion A UAT - Modulo pagos </t>
  </si>
  <si>
    <t xml:space="preserve">Desconexion A UAT - Modulo pagos </t>
  </si>
  <si>
    <t xml:space="preserve">Prueba desconexion A UAT - Modulo pagos </t>
  </si>
  <si>
    <t>Solicitud desconexion Modulo pagos  - A UAT</t>
  </si>
  <si>
    <t>Aprobacion solicitud desconexion Modulo pagos  - A UAT</t>
  </si>
  <si>
    <t>Desconexion Modulo pagos  - A UAT</t>
  </si>
  <si>
    <t>Prueba desconexion Modulo pagos  - A UAT</t>
  </si>
  <si>
    <t>Solicitud desconexion A UAT - Servicio de envío de facturas</t>
  </si>
  <si>
    <t>Servicio de envio</t>
  </si>
  <si>
    <t>Aprobacion solicitud desconexion A UAT - Servicio de envío de facturas</t>
  </si>
  <si>
    <t>de facturas</t>
  </si>
  <si>
    <t>Desconexion A UAT - Servicio de envío de facturas</t>
  </si>
  <si>
    <t>Prueba desconexion A UAT - Servicio de envío de facturas</t>
  </si>
  <si>
    <t>Solicitud desconexion Servicio de envío de facturas  - A UAT</t>
  </si>
  <si>
    <t>Aprobacion solicitud desconexion Servicio de envío de facturas  - A UAT</t>
  </si>
  <si>
    <t>Desconexion Servicio de envío de facturas  - A UAT</t>
  </si>
  <si>
    <t>Prueba desconexion Servicio de envío de facturas  - A UAT</t>
  </si>
  <si>
    <t>Solicitud desconexion A UAT - Inventario</t>
  </si>
  <si>
    <t>inventario</t>
  </si>
  <si>
    <t>Aprobacion solicitud desconexion A UAT - Inventario</t>
  </si>
  <si>
    <t>Desconexion A UAT - Inventario</t>
  </si>
  <si>
    <t>Prueba desconexion A UAT - Inventario</t>
  </si>
  <si>
    <t>Solicitud desconexion Inventario  - A UAT</t>
  </si>
  <si>
    <t>Aprobacion solicitud desconexion Inventario  - A UAT</t>
  </si>
  <si>
    <t>Desconexion Inventario  - A UAT</t>
  </si>
  <si>
    <t>Prueba desconexion Inventario - A UAT</t>
  </si>
  <si>
    <t>Solicitud desconexion A UAT - Materiales</t>
  </si>
  <si>
    <t>Aprobacion solicitud desconexion A UAT - Materiales</t>
  </si>
  <si>
    <t>Desconexion A UAT - Materiales</t>
  </si>
  <si>
    <t>Prueba desconexion A UAT - Materiales</t>
  </si>
  <si>
    <t>Solicitud desconexion Materiales  - A UAT</t>
  </si>
  <si>
    <t>Aprobacion solicitud desconexion Materiales  - A UAT</t>
  </si>
  <si>
    <t>Desconexion Materiales  - A UAT</t>
  </si>
  <si>
    <t>Prueba desconexion Materiales - A UAT</t>
  </si>
  <si>
    <t>Solicitud desconexion A UAT - Modulo RRHH</t>
  </si>
  <si>
    <t>Aprobacion solicitud desconexion A UAT - Modulo RRHH</t>
  </si>
  <si>
    <t>Desconexion A UAT - Modulo RRHH</t>
  </si>
  <si>
    <t>Prueba desconexion A UAT - Modulo RRHH</t>
  </si>
  <si>
    <t>Solicitud desconexion Modulo RRHH  - A UAT</t>
  </si>
  <si>
    <t>Aprobacion solicitud desconexion Modulo RRHH  - A UAT</t>
  </si>
  <si>
    <t>Desconexion Modulo RRHH  - A UAT</t>
  </si>
  <si>
    <t>Prueba desconexion Modulo RRHH - A UAT</t>
  </si>
  <si>
    <t>Solicitud desconexion A UAT - MDW (Contable)</t>
  </si>
  <si>
    <t>Aprobacion solicitud desconexion A UAT - MDW (Contable)</t>
  </si>
  <si>
    <t>Desconexion A UAT - MDW (Contable)</t>
  </si>
  <si>
    <t>Prueba desconexion A UAT - MDW (Contable)</t>
  </si>
  <si>
    <t>Solicitud desconexion MDW (Contable)  - A UAT</t>
  </si>
  <si>
    <t>Aprobacion solicitud desconexion MDW (Contable)  - A UAT</t>
  </si>
  <si>
    <t>Desconexion MDW (Contable)  - A UAT</t>
  </si>
  <si>
    <t>Prueba desconexion MDW (Contable) - A UAT</t>
  </si>
  <si>
    <t>Solicitud desconexion A UAT - MDW (Servicio técnico)</t>
  </si>
  <si>
    <t>Aprobacion solicitud desconexion A UAT - MDW (Servicio técnico)</t>
  </si>
  <si>
    <t>Desconexion A UAT - MDW (Servicio técnico)</t>
  </si>
  <si>
    <t>Prueba desconexion A UAT - MDW (Servicio técnico)</t>
  </si>
  <si>
    <t>Solicitud desconexion MDW (Servicio técnico)  - A UAT</t>
  </si>
  <si>
    <t>Aprobacion solicitud desconexion MDW (Servicio técnico)  - A UAT</t>
  </si>
  <si>
    <t>Desconexion MDW (Servicio técnico)  - A UAT</t>
  </si>
  <si>
    <t>Prueba desconexion MDW (Servicio técnico) - A UAT</t>
  </si>
  <si>
    <t>Solicitud desconexion A UAT - MDW (Autenticación)</t>
  </si>
  <si>
    <t>Aprobacion solicitud desconexion A UAT - MDW (Autenticación)</t>
  </si>
  <si>
    <t>Autenticacion</t>
  </si>
  <si>
    <t>Desconexion A UAT - MDW (Autenticación)</t>
  </si>
  <si>
    <t>Prueba desconexion A UAT - MDW (Autenticación)</t>
  </si>
  <si>
    <t>Solicitud desconexion MDW (Autenticación)  - A UAT</t>
  </si>
  <si>
    <t>Aprobacion solicitud desconexion MDW (Autenticación)  - A UAT</t>
  </si>
  <si>
    <t>Desconexion MDW (Autenticación)  - A UAT</t>
  </si>
  <si>
    <t>Prueba desconexion MDW (Autenticación) - A UAT</t>
  </si>
  <si>
    <t>Solicitud desconexion A UAT - MDW (Modulo impuestos)</t>
  </si>
  <si>
    <t>MDW modulo</t>
  </si>
  <si>
    <t>Aprobacion solicitud desconexion A UAT - MDW (Modulo impuestos)</t>
  </si>
  <si>
    <t>impuestos</t>
  </si>
  <si>
    <t>Desconexion A UAT - MDW (Modulo impuestos)</t>
  </si>
  <si>
    <t>Prueba desconexion A UAT - MDW (Modulo impuestos)</t>
  </si>
  <si>
    <t>Solicitud desconexion MDW (Modulo impuestos)  - A UAT</t>
  </si>
  <si>
    <t>Aprobacion solicitud desconexion MDW (Modulo impuestos)  - A UAT</t>
  </si>
  <si>
    <t>Desconexion MDW (Modulo impuestos)  - A UAT</t>
  </si>
  <si>
    <t>Prueba desconexion MDW (Modulo impuestos) - A UAT</t>
  </si>
  <si>
    <t>Prueba de limpieza A UAT</t>
  </si>
  <si>
    <t>Clonacion</t>
  </si>
  <si>
    <t>Solicitud Clonacion UAT - UAT 1</t>
  </si>
  <si>
    <t>UAT 1</t>
  </si>
  <si>
    <t>Aprobacion solicitud clonacion UAT - UAT 1</t>
  </si>
  <si>
    <t>Clonacion UAT - UAT 1</t>
  </si>
  <si>
    <t>Prueba clonacion UAT - UAT 1</t>
  </si>
  <si>
    <t>Solicitud baja A UAT</t>
  </si>
  <si>
    <t>Aprobacion solicitud de baja A UAT</t>
  </si>
  <si>
    <t>Baja A UAT</t>
  </si>
  <si>
    <t>Prueba baja A UAT</t>
  </si>
  <si>
    <t>Solicitud Clonacion UAT 1 - DRY_RUN</t>
  </si>
  <si>
    <t>DRY_RUN</t>
  </si>
  <si>
    <t>Aprobacion solicitud clonacion UAT 1 - DRY_RUN</t>
  </si>
  <si>
    <t>Clonacion UAT 1 - DRY_RUN</t>
  </si>
  <si>
    <t>Prueba clonacion UAT 1 - DRY_RUN</t>
  </si>
  <si>
    <t>Solicitud aseguramiento A DRY_RUN</t>
  </si>
  <si>
    <t>Aprobacion solicitud aseguramiento A DRY_RUN</t>
  </si>
  <si>
    <t>Aseguramiento A DRY_RUN</t>
  </si>
  <si>
    <t>Prueba de aseguramiento A DRY_RUN</t>
  </si>
  <si>
    <t>Baja UAT 1</t>
  </si>
  <si>
    <t>Solicitud baja A UAT 1</t>
  </si>
  <si>
    <t>Aprobacion solicitud de baja A UAT 1</t>
  </si>
  <si>
    <t>Baja A UAT 1</t>
  </si>
  <si>
    <t>Prueba baja A UAT 1</t>
  </si>
  <si>
    <t>Solicitud Clonacion DRY_RUN - UAT</t>
  </si>
  <si>
    <t>Aprobacion solicitud clonacion DRY_RUN - UAT</t>
  </si>
  <si>
    <t>Clonacion DRY_RUN - UAT</t>
  </si>
  <si>
    <t>Prueba clonacion DRY_RUN - UAT</t>
  </si>
  <si>
    <t>Baja</t>
  </si>
  <si>
    <t>Solicitud baja U testing - DRY_RUN</t>
  </si>
  <si>
    <t>U DRY_RUN</t>
  </si>
  <si>
    <t>Aprobacion solicitud  baja U testing - DRY_RUN</t>
  </si>
  <si>
    <t>Baja U testing - DRY_RUN</t>
  </si>
  <si>
    <t>Prueba baja U testing - DRY_RUN</t>
  </si>
  <si>
    <t>Solicitud baja U SI - DRY_RUN</t>
  </si>
  <si>
    <t>Aprobacion solicitud  baja U SI - DRY_RUN</t>
  </si>
  <si>
    <t>Baja U SI - DRY_RUN</t>
  </si>
  <si>
    <t>Prueba baja U SI - DRY_RUN</t>
  </si>
  <si>
    <t>Solicitud baja U Funcionales - DRY_RUN</t>
  </si>
  <si>
    <t>Aprobacion solicitud  baja U Funcionales - DRY_RUN</t>
  </si>
  <si>
    <t>Baja U Funcionales - DRY_RUN</t>
  </si>
  <si>
    <t>Prueba baja U Funcionales - DRY_RUN</t>
  </si>
  <si>
    <t>Solicitud baja U Administrativos - DRY_RUN</t>
  </si>
  <si>
    <t>Aprobacion solicitud  baja U AdministrativosI - DRY_RUN</t>
  </si>
  <si>
    <t>Baja U Administrativos - DRY_RUN</t>
  </si>
  <si>
    <t>Prueba baja U Administrativos - DRY_RUN</t>
  </si>
  <si>
    <t>Solicitud baja U Externos - DRY_RUN</t>
  </si>
  <si>
    <t>Aprobacion solicitud  baja U Externos - DRY_RUN</t>
  </si>
  <si>
    <t>Baja U Externos - DRY_RUN</t>
  </si>
  <si>
    <t>Prueba baja U Externos - DRY_RUN</t>
  </si>
  <si>
    <t>Solicitud de alta 20 U testing A DRY_RUN</t>
  </si>
  <si>
    <t>Aprobación solicitud alta 20 U testing A DRY_RUN</t>
  </si>
  <si>
    <t>Alta 20 U testing A DRY_RUN</t>
  </si>
  <si>
    <t>Prueba alta 20 U testing A DRY_RUN</t>
  </si>
  <si>
    <t>Solicitud de alta 10 U externos - A DRY_RUN</t>
  </si>
  <si>
    <t>Aprobación alta solicitud nivel 1 de 10 U externos  - A DRY_RUN</t>
  </si>
  <si>
    <t>Aprobación alta solicitud nivel 2 de 10 U externos  - A DRY_RUN</t>
  </si>
  <si>
    <t>Alta de 10 U externos - A DRY_RUN</t>
  </si>
  <si>
    <t>Prueba alta de 10 U externos - A DRY_RUN</t>
  </si>
  <si>
    <t>Conexion</t>
  </si>
  <si>
    <t>Solicitud conexion A DRY_RAN - A UAT</t>
  </si>
  <si>
    <t>DRY_RAN</t>
  </si>
  <si>
    <t>Aprobacion solicitud conexion A DRY_RAN - A UAT</t>
  </si>
  <si>
    <t>Conexion A DRY_RAN - A UAT</t>
  </si>
  <si>
    <t>Prueba conexion A DRY_RAN - A UAT</t>
  </si>
  <si>
    <t>Solicitud conexion A UAT - A DRY_RAN</t>
  </si>
  <si>
    <t>Aprobacion solicitud conexion A UAT - A DRY_RAN</t>
  </si>
  <si>
    <t>Conexion A UAT - A DRY_RAN</t>
  </si>
  <si>
    <t>Prueba conexion A UAT - A DRY_RAN</t>
  </si>
  <si>
    <t>Solicitud conexion A DRY_RAN - A PROD</t>
  </si>
  <si>
    <t>Aprobacion solicitud conexion A DRY_RAN - A PROD</t>
  </si>
  <si>
    <t>Conexion A DRY_RAN - A PROD</t>
  </si>
  <si>
    <t>Prueba conexion A DRY_RAN - A PROD</t>
  </si>
  <si>
    <t>Solicitud conexion Modulo pagos - A DRY_RAN</t>
  </si>
  <si>
    <t>de Pagos</t>
  </si>
  <si>
    <t>Aprobacion solicitud conexion Modulo pagos - A DRY_RAN</t>
  </si>
  <si>
    <t>Conexion Modulo pagos - A DRY_RAN</t>
  </si>
  <si>
    <t>Prueba conexion Modulo pagos - A DRY_RAN</t>
  </si>
  <si>
    <t>Solicitud conexion A DRY_RAN - Modulo pagos</t>
  </si>
  <si>
    <t>Aprobacion solicitud conexion A DRY_RAN - Modulo pagos</t>
  </si>
  <si>
    <t>Conexion A DRY_RAN - Modulo pagos</t>
  </si>
  <si>
    <t>Prueba conexion A DRY_RAN - Modulo pagos</t>
  </si>
  <si>
    <t>Solicitud conexion Servicio de envío de facturas - A DRY_RAN</t>
  </si>
  <si>
    <t>Aprobacion solicitud conexion Servicio de envío de facturas - A DRY_RAN</t>
  </si>
  <si>
    <t>Conexion Servicio de envío de facturas - A DRY_RAN</t>
  </si>
  <si>
    <t>Prueba conexion Servicio de envío de facturas - A DRY_RAN</t>
  </si>
  <si>
    <t>Solicitud conexion A DRY_RAN - Servicio de envío de facturas</t>
  </si>
  <si>
    <t>Aprobacion solicitud conexion A DRY_RAN - Servicio de envío de facturas</t>
  </si>
  <si>
    <t>Conexion A DRY_RAN - Servicio de envío de facturas</t>
  </si>
  <si>
    <t>Prueba conexion A DRY_RAN - Servicio de envío de facturas</t>
  </si>
  <si>
    <t xml:space="preserve">Solicitud conexion A DRY_RAN - Inventario </t>
  </si>
  <si>
    <t>Aprobacion solicitud conexion A DRY_RAN - Inventario</t>
  </si>
  <si>
    <t>Conexion A DRY_RAN - Inventario</t>
  </si>
  <si>
    <t>Prueba conexion A DRY_RAN - Inventario</t>
  </si>
  <si>
    <t>Solicitud conexion Inventario - A DRY_RAN</t>
  </si>
  <si>
    <t>Aprobacion solicitud conexion Inventario - A DRY_RAN</t>
  </si>
  <si>
    <t>Conexion Inventario - A DRY_RAN</t>
  </si>
  <si>
    <t>Prueba conexion Inventario - A DRY_RAN</t>
  </si>
  <si>
    <t>Solicitud conexion Materiales - A DRY_RAN</t>
  </si>
  <si>
    <t>Aprobacion solicitud conexion Materiales - A DRY_RAN</t>
  </si>
  <si>
    <t>Conexion Materiales - A DRY_RAN</t>
  </si>
  <si>
    <t>Prueba conexion Materiales - A DRY_RAN</t>
  </si>
  <si>
    <t>Solicitud conexion A DRY_RAN - Materiales</t>
  </si>
  <si>
    <t>Aprobacion solicitud conexion A DRY_RAN - Materiales</t>
  </si>
  <si>
    <t>Conexion A DRY_RAN -  Materiales</t>
  </si>
  <si>
    <t>Prueba conexion A DRY_RAN - Materiales</t>
  </si>
  <si>
    <t>Solicitud conexion Modulo RRHH - A DRY_RAN</t>
  </si>
  <si>
    <t>Aprobacion solicitud conexion Modulo RRHH - A DRY_RAN</t>
  </si>
  <si>
    <t>Conexion Modulo RRHH - A DRY_RAN</t>
  </si>
  <si>
    <t>Prueba conexion Modulo RRHH - A DRY_RAN</t>
  </si>
  <si>
    <t>Solicitud conexion A DRY_RAN - Modulo RRHH</t>
  </si>
  <si>
    <t>Aprobacion solicitud conexion A DRY_RAN - Modulo RRHH</t>
  </si>
  <si>
    <t>Conexion A DRY_RAN -  Modulo RRHH</t>
  </si>
  <si>
    <t>Prueba conexion A DRY_RAN - Modulo RRHH</t>
  </si>
  <si>
    <t>Solicitud conexion A DRY_RAN - MDW (Contable)</t>
  </si>
  <si>
    <t>Aprobacion solicitud conexion A DRY_RAN - MDW (Contable)</t>
  </si>
  <si>
    <t>Conexion A DRY_RAN -  MDW (Contable)</t>
  </si>
  <si>
    <t>Prueba conexion A DRY_RAN - MDW (Contable)</t>
  </si>
  <si>
    <t>Solicitud conexion MDW (Contable)- DRY_RAN</t>
  </si>
  <si>
    <t>Aprobacion solicitud conexion MDW (Contable) - DRY_RAN</t>
  </si>
  <si>
    <t>Conexion MDW (Contable) - DRY_RAN</t>
  </si>
  <si>
    <t>Prueba conexion MDW (Contable) - DRY_RAN</t>
  </si>
  <si>
    <t>Solicitud baja U MDW (Contable) - DRY_RUN</t>
  </si>
  <si>
    <t>Aprobacion solicitud  baja U MDW (Contable) - DRY_RUN</t>
  </si>
  <si>
    <t>Baja U MDW (Contable) - DRY_RUN</t>
  </si>
  <si>
    <t>Prueba baja U MDW (Contable) - DRY_RUN</t>
  </si>
  <si>
    <t>Solicitud conexion A DRY_RAN - MDW (Servicio técnico)</t>
  </si>
  <si>
    <t>Aprobacion solicitud conexion A DRY_RAN - MDW (Servicio técnico)</t>
  </si>
  <si>
    <t>Conexion A DRY_RAN -  MDW (Servicio técnico)</t>
  </si>
  <si>
    <t>Prueba conexion A DRY_RAN - MDW (Servicio técnico)</t>
  </si>
  <si>
    <t>Solicitud conexion MDW (Servicio técnico) - A DRY_RAN</t>
  </si>
  <si>
    <t>Aprobacion solicitud conexion MDW (Servicio técnico) - A DRY_RAN</t>
  </si>
  <si>
    <t>Conexion MDW (Servicio técnico) - A DRY_RAN</t>
  </si>
  <si>
    <t>Prueba conexion MDW (Servicio técnico) - A DRY_RAN</t>
  </si>
  <si>
    <t>Solicitud baja U MDW (Servicio técnico) - DRY_RUN</t>
  </si>
  <si>
    <t>Aprobacion solicitud  baja U MDW (Servicio técnico) - DRY_RUN</t>
  </si>
  <si>
    <t>Baja U MDW (Servicio técnico) - DRY_RUN</t>
  </si>
  <si>
    <t>Prueba baja U MDW (Servicio técnico) - DRY_RUN</t>
  </si>
  <si>
    <t>Solicitud conexion A DRY_RAN - MDW (Autenticación)</t>
  </si>
  <si>
    <t>Aprobacion solicitud conexion A DRY_RAN - MDW (Autenticación)</t>
  </si>
  <si>
    <t>Conexion A DRY_RAN -  MDW (Autenticación)</t>
  </si>
  <si>
    <t>Prueba conexion A DRY_RAN - MDW (Autenticación)</t>
  </si>
  <si>
    <t>Solicitud conexion MDW (Autenticación)- A DRY_RAN</t>
  </si>
  <si>
    <t>Aprobacion solicitud conexion MDW (Autenticación) - A DRY_RAN</t>
  </si>
  <si>
    <t>Conexion MDW (Autenticación) - A DRY_RAN</t>
  </si>
  <si>
    <t>Prueba conexion MDW (Autenticación) - A DRY_RAN</t>
  </si>
  <si>
    <t>Solicitud baja U MDW (Autenticación) - DRY_RUN</t>
  </si>
  <si>
    <t>Aprobacion solicitud  baja U MDW (Autenticación) - DRY_RUN</t>
  </si>
  <si>
    <t>Baja U MDW (Autenticación) - DRY_RUN</t>
  </si>
  <si>
    <t>Prueba baja U MDW (Autenticación) - DRY_RUN</t>
  </si>
  <si>
    <t>Solicitud de alta U MDW (Autenticación) A DRY_RUN</t>
  </si>
  <si>
    <t>Aprobación solicitud alta U MDW (Autenticación) A DRY_RUN</t>
  </si>
  <si>
    <t>Alta U MDW (Autenticación) A DRY_RUN</t>
  </si>
  <si>
    <t>Prueba alta U MDW (Autenticación) A DRY_RUN</t>
  </si>
  <si>
    <t>Solicitud conexion A DRY_RAN - MDW (Modulo impuestos)</t>
  </si>
  <si>
    <t>Aprobacion solicitud conexion A DRY_RAN - MDW (Modulo impuestos)</t>
  </si>
  <si>
    <t>Conexion A DRY_RAN -  MDW (Modulo impuestos)</t>
  </si>
  <si>
    <t>Prueba conexion A DRY_RAN - MDW (Modulo impuestos)</t>
  </si>
  <si>
    <t>Solicitud conexion MDW (Modulo impuestos) - A DRY_RAN</t>
  </si>
  <si>
    <t>Aprobacion solicitud conexion MDW (Modulo impuestos) - A DRY_RAN</t>
  </si>
  <si>
    <t>Conexion MDW (Modulo impuestos) - A DRY_RAN</t>
  </si>
  <si>
    <t>Prueba conexion MDW (Modulo impuestos) - A DRY_RAN</t>
  </si>
  <si>
    <t>Solicitud baja U MDW (Modulo impuestos) - DRY_RUN</t>
  </si>
  <si>
    <t>Aprobacion solicitud  baja U MDW (Modulo impuestos) - DRY_RUN</t>
  </si>
  <si>
    <t>Baja U MDW (Modulo impuestos) - DRY_RUN</t>
  </si>
  <si>
    <t>Prueba baja U MDW (Modulo impuestos) - DRY_RUN</t>
  </si>
  <si>
    <t>Solicitud de alta U MDW (Modulo impuestos) A DRY_RUN</t>
  </si>
  <si>
    <t>Aprobación solicitud alta U MDW (Modulo impuestos) A DRY_RUN</t>
  </si>
  <si>
    <t>Alta U MDW (Modulo impuestos) A DRY_RUN</t>
  </si>
  <si>
    <t>Prueba alta U MDW (Modulo impuestos) A DRY_RUN</t>
  </si>
  <si>
    <t>A DRY_RAN</t>
  </si>
  <si>
    <t>Solicitud de alta U DOIT - A DRY_RAN</t>
  </si>
  <si>
    <t>DOIT</t>
  </si>
  <si>
    <t>Aprobación alta solicitud nivel 1 U DOIT - A DRY_RAN</t>
  </si>
  <si>
    <t>Aprobación alta solicitud nivel 2 U DOIT - A DRY_RAN</t>
  </si>
  <si>
    <t>Alta U DOIT - A DRY_RAN</t>
  </si>
  <si>
    <t>Prueba alta U DOIT - A DRY_RAN</t>
  </si>
  <si>
    <t>Solicitud instalación DOIT – A DRY_RAN</t>
  </si>
  <si>
    <t>Aprobación solicitud instalación DOIT – A DRY_RAN</t>
  </si>
  <si>
    <t>Instalación DOIT – A DRY_RAN</t>
  </si>
  <si>
    <t>Prueba instalación DOIT – A DRY_RAN</t>
  </si>
  <si>
    <t>Solicitud baja U DOIT - A DRY_RAN</t>
  </si>
  <si>
    <t>Aprobacion solicitud baja U DOIT - A DRY_RAN</t>
  </si>
  <si>
    <t>Baja U DOIT - A DRY_RAN</t>
  </si>
  <si>
    <t>Prueba baja U DOIT - A DRY_RAN</t>
  </si>
  <si>
    <t>System</t>
  </si>
  <si>
    <t>Solicitud de alta U System promotion - A DRY_RAN</t>
  </si>
  <si>
    <t>promotion</t>
  </si>
  <si>
    <t>Aprobación alta solicitud nivel 1 U System promotion - A DRY_RAN</t>
  </si>
  <si>
    <t>Aprobación alta solicitud nivel 2 U System promotion - A DRY_RAN</t>
  </si>
  <si>
    <t>Alta U System promotion - A DRY_RAN</t>
  </si>
  <si>
    <t>Prueba alta U System promotion - A DRY_RAN</t>
  </si>
  <si>
    <t>Solicitud instalación System promotion – A DRY_RAN</t>
  </si>
  <si>
    <t>Aprobación solicitud instalación System promotion – A DRY_RAN</t>
  </si>
  <si>
    <t>Instalación System promotion – A DRY_RAN</t>
  </si>
  <si>
    <t>Prueba instalación System promotion – A DRY_RAN</t>
  </si>
  <si>
    <t>Solicitud baja U System promotion - A DRY_RAN</t>
  </si>
  <si>
    <t>Aprobacion solicitud baja U System promotion - A DRY_RAN</t>
  </si>
  <si>
    <t>Baja U System promotion - A DRY_RAN</t>
  </si>
  <si>
    <t>Prueba baja U System promotion - A DRY_RAN</t>
  </si>
  <si>
    <t>Harvest</t>
  </si>
  <si>
    <t>Solicitud de alta U Harvest - A DRY_RAN</t>
  </si>
  <si>
    <t>Aprobación alta solicitud nivel 1 U Harvest - A DRY_RAN</t>
  </si>
  <si>
    <t>Aprobación alta solicitud nivel 2 U Harvest - A DRY_RAN</t>
  </si>
  <si>
    <t>Alta U Harvest - A DRY_RAN</t>
  </si>
  <si>
    <t>Prueba alta U Harvest - A DRY_RAN</t>
  </si>
  <si>
    <t>Solicitud instalación Harvest – A DRY_RAN</t>
  </si>
  <si>
    <t>Aprobación solicitud instalación Harvest – A DRY_RAN</t>
  </si>
  <si>
    <t>Instalación Harvest – A DRY_RAN</t>
  </si>
  <si>
    <t>Prueba instalación Harvest – A DRY_RAN</t>
  </si>
  <si>
    <t>Solicitud baja U Harvest - A DRY_RAN</t>
  </si>
  <si>
    <t>Aprobacion solicitud baja U Harvest - A DRY_RAN</t>
  </si>
  <si>
    <t>Baja U Harvest - A DRY_RAN</t>
  </si>
  <si>
    <t>Prueba baja U Harvest - A DRY_RAN</t>
  </si>
  <si>
    <t>Solicitud Reaseguramient A DRY_RAN</t>
  </si>
  <si>
    <t>Aprobacion solicitud Reaseguramient A DRY_RAN</t>
  </si>
  <si>
    <t>Reaseguramient A DRY_RAN</t>
  </si>
  <si>
    <t>Prueba de Reaseguramient A DRY_RAN</t>
  </si>
  <si>
    <t>Solicitud conexion A SIT - A UAT</t>
  </si>
  <si>
    <t>Aprobacion solicitud conexion A SIT - A UAT</t>
  </si>
  <si>
    <t>Conexion A SIT - A UAT</t>
  </si>
  <si>
    <t>Prueba conexion A SIT - A UAT</t>
  </si>
  <si>
    <t>Solicitud conexion A UAT - A PROD</t>
  </si>
  <si>
    <t>Aprobacion solicitud conexion A UAT - A PROD</t>
  </si>
  <si>
    <t>Conexion A UAT - A PROD</t>
  </si>
  <si>
    <t>Prueba conexion A UAT - A PROD</t>
  </si>
  <si>
    <t xml:space="preserve"> de Pagos</t>
  </si>
  <si>
    <t>Solicitud conexion A DES1_SF - A DEMO</t>
  </si>
  <si>
    <t>DESA1_SF</t>
  </si>
  <si>
    <t>Aprobacion solicitud conexion A DES1_SF - A DEMO</t>
  </si>
  <si>
    <t>Conexion A DES1_SF - A DEMO</t>
  </si>
  <si>
    <t>Prueba conexion A DES1_SF - A DEMO</t>
  </si>
  <si>
    <t>Solicitud conexion A DEMO_SF - A DEMO</t>
  </si>
  <si>
    <t>DEMO_SF</t>
  </si>
  <si>
    <t>Aprobacion solicitud conexion A DEMO_SF - A DEMO</t>
  </si>
  <si>
    <t>Conexion A DEMO_SF - A DEMO</t>
  </si>
  <si>
    <t>Prueba conexion A DEMO_SF - A DEMO</t>
  </si>
  <si>
    <t>Solicitud conexion A DEMO - A DEMO_SF</t>
  </si>
  <si>
    <t>Aprobacion solicitud conexion A DEMO - A DEMO_SF</t>
  </si>
  <si>
    <t>Conexion A DEMO - A DEMO_SF</t>
  </si>
  <si>
    <t>Prueba conexion A DEMO - A DEMO_SF</t>
  </si>
  <si>
    <t>Solicitud conexion A SIT_SF - A SIT</t>
  </si>
  <si>
    <t>SIT_SF</t>
  </si>
  <si>
    <t>Aprobacion solicitud conexion A SIT_SF - A SIT</t>
  </si>
  <si>
    <t>Conexion A SIT_SF - A SIT</t>
  </si>
  <si>
    <t>Prueba conexion A SIT_SF - A SIT</t>
  </si>
  <si>
    <t>Solicitud conexion A SIT - A SIT_SF</t>
  </si>
  <si>
    <t>Aprobacion solicitud conexion A SIT - A SIT_SF</t>
  </si>
  <si>
    <t>Conexion A SIT - A SIT_SF</t>
  </si>
  <si>
    <t>Prueba conexion A SIT - A SIT_SF</t>
  </si>
  <si>
    <t>Solicitud conexion A UAT_SF - A UAT</t>
  </si>
  <si>
    <t>UAT_SF</t>
  </si>
  <si>
    <t>Aprobacion solicitud conexion A UAT_SF - A UAT</t>
  </si>
  <si>
    <t>Conexion A UAT_SF - A UAT</t>
  </si>
  <si>
    <t>Prueba conexion A UAT_SF - A UAT</t>
  </si>
  <si>
    <t>Solicitud conexion A UAT - A UAT_SF</t>
  </si>
  <si>
    <t>Aprobacion solicitud conexion A UAT - A UAT_SF</t>
  </si>
  <si>
    <t>Conexion A UAT - A UAT_SF</t>
  </si>
  <si>
    <t>Prueba conexion A UAT - A UAT_SF</t>
  </si>
  <si>
    <t>Baja Usuarios</t>
  </si>
  <si>
    <t>Solicitud baja 50 U SF DESA1</t>
  </si>
  <si>
    <t>Aprobacion solicitud  baja 50 U SF DESA1</t>
  </si>
  <si>
    <t>Baja 50 U SF DESA1</t>
  </si>
  <si>
    <t>Prueba baja 50 U SF DESA1</t>
  </si>
  <si>
    <t>Solicitud baja 50 U SF DESA2</t>
  </si>
  <si>
    <t>Aprobacion solicitud  baja 50 U SF DESA2</t>
  </si>
  <si>
    <t>Baja 50 U SF DESA2</t>
  </si>
  <si>
    <t>Prueba baja 50 U SF DESA2</t>
  </si>
  <si>
    <t>Solicitud baja 50 U SF DESA3</t>
  </si>
  <si>
    <t>Aprobacion solicitud  baja 50 U SF DESA3</t>
  </si>
  <si>
    <t>Baja 50 U SF DESA3</t>
  </si>
  <si>
    <t>Prueba baja 50 U SF DESA3</t>
  </si>
  <si>
    <t>Solicitud baja 50 U SF DEMO</t>
  </si>
  <si>
    <t>Aprobacion solicitud  baja 50 U SF DEMO</t>
  </si>
  <si>
    <t>Baja 50 U SF DEMO</t>
  </si>
  <si>
    <t>Prueba baja 50 U SF DEMO</t>
  </si>
  <si>
    <t>Solicitud baja 50 U SF SIT</t>
  </si>
  <si>
    <t>Aprobacion solicitud  baja 50 U SF SIT</t>
  </si>
  <si>
    <t>Baja 50 U SF SIT</t>
  </si>
  <si>
    <t>Prueba baja 50 U SF SIT</t>
  </si>
  <si>
    <t>Solicitud baja 50 U SF UAT</t>
  </si>
  <si>
    <t>Aprobacion solicitud  baja 50 U SF UAT</t>
  </si>
  <si>
    <t>Baja 50 U SF UAT</t>
  </si>
  <si>
    <t>Prueba baja 50 U SF UAT</t>
  </si>
  <si>
    <t>Alta Usuarios</t>
  </si>
  <si>
    <t>Solicitud a SF de alta 10 U propios A DESA1_SF</t>
  </si>
  <si>
    <t>SF</t>
  </si>
  <si>
    <t>Aprobación solicitud a SF de alta 10 U propios A DESA1_SF</t>
  </si>
  <si>
    <t>Alta 10 U propios A DESA1_SF</t>
  </si>
  <si>
    <t>Externos SF</t>
  </si>
  <si>
    <t>Prueba alta 10 U propios A DESA1_SF</t>
  </si>
  <si>
    <t>Externo SF</t>
  </si>
  <si>
    <t>Solicitud a SF de alta 10 U propios A DEMO_SF</t>
  </si>
  <si>
    <t>Aprobación solicitud a SF de alta 10 U propios A DEMO_SF</t>
  </si>
  <si>
    <t>Alta 10 U propios A DEMO_SF</t>
  </si>
  <si>
    <t>Prueba alta 10 U propios A DEMO_SF</t>
  </si>
  <si>
    <t>Solicitud a SF de alta 10 U propios A SIT_SF</t>
  </si>
  <si>
    <t>Aprobación solicitud a SF de alta 10 U propios A SIT_SF</t>
  </si>
  <si>
    <t>Alta 10 U propios A SIT_SF</t>
  </si>
  <si>
    <t>Prueba alta 10 U propios A SIT_SF</t>
  </si>
  <si>
    <t>Solicitud a SF de alta 10 U propios A UAT_SF</t>
  </si>
  <si>
    <t>Aprobación solicitud a SF de alta 10 U propios A UAT_SF</t>
  </si>
  <si>
    <t>Alta 10 U propios A UAT_SF</t>
  </si>
  <si>
    <t>Prueba alta 10 U propios A UAT_SF</t>
  </si>
  <si>
    <t>Instalaciones</t>
  </si>
  <si>
    <t>Solicitud a SF de instalacion DOIT A DESA1_SF</t>
  </si>
  <si>
    <t>Aprobacion solicitud a SF de instalacion DOIT A DESA1_SF</t>
  </si>
  <si>
    <t>Instalacion DOIT A DESA1_SF</t>
  </si>
  <si>
    <t>Prueba de instalacion DOIT A DESA1_SF</t>
  </si>
  <si>
    <t>Solicitud a SF de instalacion DOIT A DEMO_SF</t>
  </si>
  <si>
    <t>Aprobacion solicitud a SF de instalacion DOIT A DEMO_SF</t>
  </si>
  <si>
    <t>Instalacion DOIT A DEMO_SF</t>
  </si>
  <si>
    <t>Prueba de instalacion DOIT A DEMO_SF</t>
  </si>
  <si>
    <t>Solicitud a SF de instalacion DOIT A SIT_SF</t>
  </si>
  <si>
    <t>Aprobacion solicitud a SF de instalacion DOIT A SIT_SF</t>
  </si>
  <si>
    <t>Instalacion DOIT A SIT_SF</t>
  </si>
  <si>
    <t>Prueba de instalacion DOIT A SIT_SF</t>
  </si>
  <si>
    <t>Solicitud a SF de instalacion DOIT A UAT_SF</t>
  </si>
  <si>
    <t>Aprobacion solicitud a SF de instalacion DOIT A UAT_SF</t>
  </si>
  <si>
    <t>Instalacion DOIT A UAT_SF</t>
  </si>
  <si>
    <t>Prueba de instalacion DOIT A UAT_SF</t>
  </si>
  <si>
    <t>Solicitud a SF de instalacion System Promotion A DESA1_SF</t>
  </si>
  <si>
    <t>Aprobacion solicitud a SF de instalacion System Promotion A DESA1_SF</t>
  </si>
  <si>
    <t>Promotion</t>
  </si>
  <si>
    <t>Instalacion System Promotion A DESA1_SF</t>
  </si>
  <si>
    <t>Prueba de instalacion System Promotion A DESA1_SF</t>
  </si>
  <si>
    <t>Solicitud a SF de instalacion System Promotion A DEMO_SF</t>
  </si>
  <si>
    <t>Aprobacion solicitud a SF de instalacion System Promotion A DEMO_SF</t>
  </si>
  <si>
    <t>Instalacion System Promotion A DEMO_SF</t>
  </si>
  <si>
    <t>Prueba de instalacion System Promotion A DEMO_SF</t>
  </si>
  <si>
    <t>Solicitud a SF de instalacion System Promotion A SIT_SF</t>
  </si>
  <si>
    <t>Aprobacion solicitud a SF de instalacion System Promotion A SIT_SF</t>
  </si>
  <si>
    <t>Instalacion System Promotion A SIT_SF</t>
  </si>
  <si>
    <t>Prueba de instalacion System Promotion A SIT_SF</t>
  </si>
  <si>
    <t>Solicitud a SF de instalacion System Promotion A UAT_SF</t>
  </si>
  <si>
    <t>Aprobacion solicitud a SF de instalacion System Promotion A UAT_SF</t>
  </si>
  <si>
    <t>Instalacion System Promotion A UAT_SF</t>
  </si>
  <si>
    <t>Prueba de instalacion System Promotion A UAT_SF</t>
  </si>
  <si>
    <t>Solicitud a SF de instalacion Harvest A DESA1_SF</t>
  </si>
  <si>
    <t>Aprobacion solicitud a SF de instalacion Harvest A DESA1_SF</t>
  </si>
  <si>
    <t>Instalacion Harvest A DESA1_SF</t>
  </si>
  <si>
    <t>Prueba de instalacion Harvest A DESA1_SF</t>
  </si>
  <si>
    <t>Solicitud a SF de instalacion Harvest A DEMO_SF</t>
  </si>
  <si>
    <t>Aprobacion solicitud a SF de instalacion Harvest A DEMO_SF</t>
  </si>
  <si>
    <t>Instalacion Harvest A DEMO_SF</t>
  </si>
  <si>
    <t>Prueba de instalacion Harvest A DEMO_SF</t>
  </si>
  <si>
    <t>Solicitud a SF de instalacion Harvest A SIT_SF</t>
  </si>
  <si>
    <t>Aprobacion solicitud a SF de instalacion Harvest A SIT_SF</t>
  </si>
  <si>
    <t>Instalacion Harvest A SIT_SF</t>
  </si>
  <si>
    <t>Prueba de instalacion Harvest A SIT_SF</t>
  </si>
  <si>
    <t>Solicitud a SF de instalacion Harvest A UAT_SF</t>
  </si>
  <si>
    <t>Aprobacion solicitud a SF de instalacion Harvest A UAT_SF</t>
  </si>
  <si>
    <t>Instalacion Harvest A UAT_SF</t>
  </si>
  <si>
    <t>Prueba de instalacion Harvest A UAT_SF</t>
  </si>
  <si>
    <t>Instalacion</t>
  </si>
  <si>
    <t>Solicitud instalacion VPN DESA1_SF - DEMO</t>
  </si>
  <si>
    <t>VPN</t>
  </si>
  <si>
    <t>Aprobacion solicitud  instalacion VPN DESA1_SF - DEMO</t>
  </si>
  <si>
    <t>instalacion VPN DESA1_SF - DEMO</t>
  </si>
  <si>
    <t>Prueba instalacion VPN DESA1_SF - DEMO</t>
  </si>
  <si>
    <t>Solicitud instalacion VPN DEMO_SF - DEMO</t>
  </si>
  <si>
    <t>Aprobacion solicitud  instalacion VPN DEMO_SF - DEMO</t>
  </si>
  <si>
    <t>instalacion VPN DEMO_SF - DEMO</t>
  </si>
  <si>
    <t>Prueba instalacion VPN DEMO_SF - DEMO</t>
  </si>
  <si>
    <t>Solicitud instalacion VPN SIT_SF - SIT</t>
  </si>
  <si>
    <t>Aprobacion solicitud  instalacion VPN SIT_SF - SIT</t>
  </si>
  <si>
    <t>instalacion VPN SIT_SF - SIT</t>
  </si>
  <si>
    <t>Prueba instalacion VPN SIT_SF - SIT</t>
  </si>
  <si>
    <t>Solicitud instalacion VPN UAT_SF - UAT</t>
  </si>
  <si>
    <t>Aprobacion solicitud  instalacion VPN UAT_SF - UAT</t>
  </si>
  <si>
    <t>instalacion VPN UAT_SF - UAT</t>
  </si>
  <si>
    <t>Prueba instalacion VPN UAT_SF - UAT</t>
  </si>
  <si>
    <t>Nivelacion de</t>
  </si>
  <si>
    <t>Solicitud a SF de nivelacion de codigo DEMO - DEMO_SF</t>
  </si>
  <si>
    <t>Codigo</t>
  </si>
  <si>
    <t>Aprobacion solicitud  a SF de nivelacion de codigo DEMO - DEMO_SF</t>
  </si>
  <si>
    <t>Nivelacion de codigo DEMO - DEMO_SF</t>
  </si>
  <si>
    <t>Prueba nivelacion de codigo DEMO - DEMO_SF</t>
  </si>
  <si>
    <t>Solicitud a SF de nivelacion de codigo SIT - SIT_SF</t>
  </si>
  <si>
    <t>Aprobacion solicitud  a SF de nivelacion de codigo SIT - SIT_SF</t>
  </si>
  <si>
    <t>Nivelacion de codigo SIT - SIT_SF</t>
  </si>
  <si>
    <t>Prueba nivelacion de codigo SIT - SIT_SF</t>
  </si>
  <si>
    <t>Solicitud a SF de nivelacion de codigo UAT - UAT_SF</t>
  </si>
  <si>
    <t>Aprobacion solicitud  a SF de nivelacion de codigo UAT - UAT_SF</t>
  </si>
  <si>
    <t>Nivelacion de codigo UAT - UAT_SF</t>
  </si>
  <si>
    <t>Prueba nivelacion de codigo UAT - UAT_SF</t>
  </si>
  <si>
    <t>Promocion</t>
  </si>
  <si>
    <t>Solicitud configuracion sistem promotion A DESA1_SF - A DEMO</t>
  </si>
  <si>
    <t>Aprobacion de solicitud configuracion sistem promotion A DESA1_SF - A DEMO</t>
  </si>
  <si>
    <t>Externo SFi</t>
  </si>
  <si>
    <t>Configuracion sistem promotion A DESA1_SF - A DEMO</t>
  </si>
  <si>
    <t>Prueba configuracion sistem promotion A DESA1_SF - A DEMO</t>
  </si>
  <si>
    <t>Solicitud promocion codigo A DESA1_SF - A DEMO</t>
  </si>
  <si>
    <t>Aprobacion solicitud promocion codigo A DESA1O_SF - A DEMO</t>
  </si>
  <si>
    <t>Promocion codigo A DESA1_SF - A DEMO</t>
  </si>
  <si>
    <t>Prueba promocion codigo A DESA1_SF - A DEMO</t>
  </si>
  <si>
    <t>Solicitud configuracion sistem promotion A DEMO_SF - A DEMO</t>
  </si>
  <si>
    <t>Aprobacion de solicitud configuracion sistem promotion A DEMO_SF - A DEMO</t>
  </si>
  <si>
    <t>Configuracion sistem promotion A DEMO_SF - A DEMO</t>
  </si>
  <si>
    <t>Prueba configuracion sistem promotion A DEMO_SF - A DEMO</t>
  </si>
  <si>
    <t>Solicitud promocion codigo A DEMO_SF - A DEMO</t>
  </si>
  <si>
    <t>Aprobacion solicitud promocion codigo A DEMO_SF - A DEMO</t>
  </si>
  <si>
    <t>Promocion codigo A DEMO_SF - A DEMO</t>
  </si>
  <si>
    <t>Prueba promocion codigo A DEMO_SF - A DEMO</t>
  </si>
  <si>
    <t>Solicitud promocion codigo A DEMO - A DEMO_SF</t>
  </si>
  <si>
    <t>Aprobacion solicitud promocion codigo A DEMO - A DEMO_SF</t>
  </si>
  <si>
    <t>Promocion codigo A DEMO - A DEMO_SF</t>
  </si>
  <si>
    <t>Prueba promocion codigo A DEMO - A DEMO_SF</t>
  </si>
  <si>
    <t>Solicitud configuracion sistem promotion A SIT_SF - A SIT</t>
  </si>
  <si>
    <t>Aprobacion de solicitud configuracion sistem promotion A SIT_SF - A SIT</t>
  </si>
  <si>
    <t>Configuracion sistem promotion A SIT_SF - A SIT</t>
  </si>
  <si>
    <t>Prueba configuracion sistem promotion A SIT_SF - A SIT</t>
  </si>
  <si>
    <t>Solicitud promocion codigo A SIT_SF - A SIT</t>
  </si>
  <si>
    <t>Aprobacion solicitud promocion codigo A SIT_SF - A SIT</t>
  </si>
  <si>
    <t>Promocion codigo A SIT_SF - A SIT</t>
  </si>
  <si>
    <t>Prueba promocion codigo A SIT_SF - A SIT</t>
  </si>
  <si>
    <t>Solicitud promocion codigo A SIT - A SIT_SF</t>
  </si>
  <si>
    <t>Aprobacion solicitud promocion codigo A SIT - A SIT_SF</t>
  </si>
  <si>
    <t>Promocion codigo A SIT - A SIT_SF</t>
  </si>
  <si>
    <t>Prueba promocion codigo A SIT - A SIT_SF</t>
  </si>
  <si>
    <t>Solicitud configuracion sistem promotion A UAT_SF - A UAT</t>
  </si>
  <si>
    <t>Aprobacion de solicitud configuracion sistem promotion A UAT_SF - A UAT</t>
  </si>
  <si>
    <t>Configuracion sistem promotion A UAT_SF - A UAT</t>
  </si>
  <si>
    <t>Prueba configuracion sistem promotion A UAT_SF - A UAT</t>
  </si>
  <si>
    <t>Solicitud promocion codigo A UAT_SF - A UAT</t>
  </si>
  <si>
    <t>Aprobacion solicitud promocion codigo A UAT_SF - A UAT</t>
  </si>
  <si>
    <t>Promocion codigo A UAT_SF - A UAT</t>
  </si>
  <si>
    <t>Prueba promocion codigo A UAT_SF - A UAT</t>
  </si>
  <si>
    <t>Solicitud promocion codigo A UAT - A UAT_SF</t>
  </si>
  <si>
    <t>Aprobacion solicitud promocion codigo A UAT - A UAT_SF</t>
  </si>
  <si>
    <t>Promocion codigo A UAT - A UAT_SF</t>
  </si>
  <si>
    <t>Prueba promocion codigo A UAT - A UAT_SF</t>
  </si>
  <si>
    <t>Migracion BD</t>
  </si>
  <si>
    <t>Solicitud migracion BD A SIT - A SIT_SF</t>
  </si>
  <si>
    <t>Aprobacion solicitud migracion BD A SIT - A SIT_SF</t>
  </si>
  <si>
    <t>Migracion BD A SIT - A SIT_SF</t>
  </si>
  <si>
    <t>Prueba migracion BD A SIT - A SIT_SF</t>
  </si>
  <si>
    <t>Solicitud migracion BD A UAT - A UAT_SF</t>
  </si>
  <si>
    <t>Aprobacion solicitud migracion BD A UAT - A UAT_SF</t>
  </si>
  <si>
    <t>Migracion BD A UAT - A UAT_SF</t>
  </si>
  <si>
    <t>Prueba migracion BD A UAT - A UAT_SF</t>
  </si>
  <si>
    <t>Jefe de proyecto y PMO</t>
  </si>
  <si>
    <t>Arquitecto de Sistemas</t>
  </si>
  <si>
    <t>Jefe de Sistemas de informacion</t>
  </si>
  <si>
    <t>Jefe de Seguridad de la informacion</t>
  </si>
  <si>
    <t>Jefe de Desarrolladores</t>
  </si>
  <si>
    <t>Jefe de Testing</t>
  </si>
  <si>
    <t>Jefe de Control</t>
  </si>
  <si>
    <t>Jefe de proyecto</t>
  </si>
  <si>
    <t>Pedido de Cotizacion A DESA</t>
  </si>
  <si>
    <t>Arquitecto de Sistemas y PMO</t>
  </si>
  <si>
    <t>Proveedor y PMO</t>
  </si>
  <si>
    <t>PMO y Direccion</t>
  </si>
  <si>
    <t>Aprobación de creación A DESA</t>
  </si>
  <si>
    <t>PMO</t>
  </si>
  <si>
    <t>Equipo de desarrollo</t>
  </si>
  <si>
    <t>Equipo de Testing</t>
  </si>
  <si>
    <t>Jefe de Si</t>
  </si>
  <si>
    <t>Pedido de Cotizacion A DEMO</t>
  </si>
  <si>
    <t>Aprobacion conexion DESA - DEMO</t>
  </si>
  <si>
    <t>Equipo de desarrollo y Equipo de Testing</t>
  </si>
  <si>
    <t>Jefe de SI</t>
  </si>
  <si>
    <t>Compras</t>
  </si>
  <si>
    <t>Pedido de Cotizacion A SIT</t>
  </si>
  <si>
    <t>Proveedor</t>
  </si>
  <si>
    <t>Aprobacion conexion DEMO - SIT</t>
  </si>
  <si>
    <t>Arquitecto de Datos</t>
  </si>
  <si>
    <t>Equipo de testing y Arquitecto de Datos</t>
  </si>
  <si>
    <t>Equipo de Testing y Equipo de Control</t>
  </si>
  <si>
    <t>Pedido de Cotizacion A DESA2</t>
  </si>
  <si>
    <t>Aalisis de viavilidad A UAT</t>
  </si>
  <si>
    <t>Otorgamiento de permisos de usuario - Modulo pagos</t>
  </si>
  <si>
    <t>Otorgamiento de permisos de usuario - Servicio de envío de facturas</t>
  </si>
  <si>
    <t>Solicitud conexion A UAT - Inventario</t>
  </si>
  <si>
    <t>Conexion A UAT -  Inventario</t>
  </si>
  <si>
    <t>Otorgamiento de permisos de acceso usuario - Inventario</t>
  </si>
  <si>
    <t>Otorgamiento de permisos de usuario - Materiales</t>
  </si>
  <si>
    <t>Otorgamiento de permisos de usuario - Modulo RRHH</t>
  </si>
  <si>
    <t>Otorgamiento de permisos de usuario - MDW (Contable)</t>
  </si>
  <si>
    <t>Otorgamiento de permisos de usuario - Servicio técnico</t>
  </si>
  <si>
    <t>Otorgamiento de permisos de usuario - Autenticación</t>
  </si>
  <si>
    <t>Otorgamiento de permisos de usuario - Modulo impuestos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</si>
</sst>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11">
    <font>
      <sz val="10.0"/>
      <color rgb="FF000000"/>
      <name val="Arial"/>
      <scheme val="minor"/>
    </font>
    <font>
      <color rgb="FF000000"/>
      <name val="Roboto"/>
    </font>
    <font>
      <b/>
      <color rgb="FF000000"/>
      <name val="Roboto"/>
    </font>
    <font>
      <sz val="10.0"/>
      <color rgb="FF000000"/>
      <name val="Roboto"/>
    </font>
    <font>
      <color rgb="FF000000"/>
      <name val="Arial"/>
      <scheme val="minor"/>
    </font>
    <font>
      <color theme="1"/>
      <name val="Roboto"/>
    </font>
    <font>
      <b/>
      <color rgb="FF000000"/>
      <name val="Arial"/>
    </font>
    <font>
      <color rgb="FF000000"/>
      <name val="Arial"/>
    </font>
    <font>
      <b/>
      <color rgb="FF000000"/>
      <name val="Arial"/>
      <scheme val="minor"/>
    </font>
    <font>
      <sz val="11.0"/>
      <color rgb="FF000000"/>
      <name val="Roboto"/>
    </font>
    <font>
      <color theme="1"/>
      <name val="Arial"/>
      <scheme val="minor"/>
    </font>
  </fonts>
  <fills count="21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EFEFEF"/>
        <bgColor rgb="FFEFEFEF"/>
      </patternFill>
    </fill>
    <fill>
      <patternFill patternType="solid">
        <fgColor rgb="FFF6F8F9"/>
        <bgColor rgb="FFF6F8F9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  <fill>
      <patternFill patternType="solid">
        <fgColor rgb="FFD5A6BD"/>
        <bgColor rgb="FFD5A6BD"/>
      </patternFill>
    </fill>
    <fill>
      <patternFill patternType="solid">
        <fgColor rgb="FFDD7E6B"/>
        <bgColor rgb="FFDD7E6B"/>
      </patternFill>
    </fill>
    <fill>
      <patternFill patternType="solid">
        <fgColor rgb="FFF9CB9C"/>
        <bgColor rgb="FFF9CB9C"/>
      </patternFill>
    </fill>
    <fill>
      <patternFill patternType="solid">
        <fgColor rgb="FFB4A7D6"/>
        <bgColor rgb="FFB4A7D6"/>
      </patternFill>
    </fill>
    <fill>
      <patternFill patternType="solid">
        <fgColor rgb="FFFFE599"/>
        <bgColor rgb="FFFFE599"/>
      </patternFill>
    </fill>
    <fill>
      <patternFill patternType="solid">
        <fgColor rgb="FFA2C4C9"/>
        <bgColor rgb="FFA2C4C9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</fills>
  <borders count="4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F6F8F9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</border>
    <border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</border>
    <border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D5A6BD"/>
      </top>
      <bottom style="thin">
        <color rgb="FFD5A6BD"/>
      </bottom>
    </border>
    <border>
      <left style="thin">
        <color rgb="FF0D4099"/>
      </left>
      <right style="thin">
        <color rgb="FFD5A6BD"/>
      </right>
      <top style="thin">
        <color rgb="FFD5A6BD"/>
      </top>
      <bottom style="thin">
        <color rgb="FFD5A6BD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9FC5E8"/>
      </bottom>
    </border>
    <border>
      <left style="thin">
        <color rgb="FF0D4099"/>
      </left>
      <top style="thin">
        <color rgb="FF9FC5E8"/>
      </top>
      <bottom style="thin">
        <color rgb="FF9FC5E8"/>
      </bottom>
    </border>
    <border>
      <left style="thin">
        <color rgb="FF000000"/>
      </left>
      <right style="thin">
        <color rgb="FF000000"/>
      </right>
      <top style="thin">
        <color rgb="FF9FC5E8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9FC5E8"/>
      </bottom>
    </border>
    <border>
      <left style="thin">
        <color rgb="FF000000"/>
      </left>
      <right style="thin">
        <color rgb="FF000000"/>
      </right>
      <top style="thin">
        <color rgb="FF9FC5E8"/>
      </top>
      <bottom style="thin">
        <color rgb="FF9FC5E8"/>
      </bottom>
    </border>
    <border>
      <left style="thin">
        <color rgb="FF000000"/>
      </left>
      <right style="thin">
        <color rgb="FF000000"/>
      </right>
      <top style="thin">
        <color rgb="FF9FC5E8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D7E6B"/>
      </bottom>
    </border>
    <border>
      <left style="thin">
        <color rgb="FF000000"/>
      </left>
      <right style="thin">
        <color rgb="FF000000"/>
      </right>
      <top style="thin">
        <color rgb="FFDD7E6B"/>
      </top>
      <bottom style="thin">
        <color rgb="FFDD7E6B"/>
      </bottom>
    </border>
    <border>
      <left style="thin">
        <color rgb="FF000000"/>
      </left>
      <right style="thin">
        <color rgb="FF000000"/>
      </right>
      <top style="thin">
        <color rgb="FFDD7E6B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E599"/>
      </bottom>
    </border>
    <border>
      <left style="thin">
        <color rgb="FF0D4099"/>
      </left>
      <top style="thin">
        <color rgb="FFFFE599"/>
      </top>
      <bottom style="thin">
        <color rgb="FFFFE599"/>
      </bottom>
    </border>
    <border>
      <left style="thin">
        <color rgb="FF000000"/>
      </left>
      <right style="thin">
        <color rgb="FF000000"/>
      </right>
      <top style="thin">
        <color rgb="FFFFE599"/>
      </top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D5A6BD"/>
      </top>
      <bottom style="thin">
        <color rgb="FF000000"/>
      </bottom>
    </border>
    <border>
      <left style="thin">
        <color rgb="FFD5A6BD"/>
      </left>
      <right style="thin">
        <color rgb="FFD5A6BD"/>
      </right>
      <top style="thin">
        <color rgb="FFD5A6BD"/>
      </top>
      <bottom style="thin">
        <color rgb="FFD5A6BD"/>
      </bottom>
    </border>
    <border>
      <left style="thin">
        <color rgb="FFEFEFEF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2" fillId="3" fontId="2" numFmtId="0" xfId="0" applyAlignment="1" applyBorder="1" applyFill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1" fillId="3" fontId="0" numFmtId="0" xfId="0" applyAlignment="1" applyBorder="1" applyFont="1">
      <alignment horizontal="left" readingOrder="0" shrinkToFit="0" vertical="center" wrapText="0"/>
    </xf>
    <xf borderId="1" fillId="0" fontId="0" numFmtId="0" xfId="0" applyAlignment="1" applyBorder="1" applyFont="1">
      <alignment horizontal="center" readingOrder="0" shrinkToFit="0" vertical="center" wrapText="0"/>
    </xf>
    <xf borderId="1" fillId="0" fontId="0" numFmtId="164" xfId="0" applyAlignment="1" applyBorder="1" applyFont="1" applyNumberFormat="1">
      <alignment horizontal="center" readingOrder="0" shrinkToFit="0" vertical="center" wrapText="0"/>
    </xf>
    <xf borderId="1" fillId="0" fontId="1" numFmtId="49" xfId="0" applyAlignment="1" applyBorder="1" applyFont="1" applyNumberFormat="1">
      <alignment horizontal="center" readingOrder="0" shrinkToFit="0" vertical="center" wrapText="1"/>
    </xf>
    <xf borderId="4" fillId="3" fontId="1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horizontal="left" readingOrder="0" shrinkToFit="0" vertical="center" wrapText="1"/>
    </xf>
    <xf borderId="4" fillId="3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left" readingOrder="0" shrinkToFit="0" vertical="center" wrapText="1"/>
    </xf>
    <xf borderId="2" fillId="4" fontId="2" numFmtId="0" xfId="0" applyAlignment="1" applyBorder="1" applyFill="1" applyFont="1">
      <alignment horizontal="center" readingOrder="0" shrinkToFit="0" vertical="center" wrapText="1"/>
    </xf>
    <xf borderId="1" fillId="4" fontId="1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0"/>
    </xf>
    <xf borderId="4" fillId="4" fontId="1" numFmtId="0" xfId="0" applyAlignment="1" applyBorder="1" applyFont="1">
      <alignment horizontal="center" shrinkToFit="0" vertical="center" wrapText="1"/>
    </xf>
    <xf borderId="4" fillId="4" fontId="2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ont="1">
      <alignment shrinkToFit="0" vertical="center" wrapText="1"/>
    </xf>
    <xf borderId="1" fillId="5" fontId="1" numFmtId="0" xfId="0" applyAlignment="1" applyBorder="1" applyFill="1" applyFont="1">
      <alignment horizontal="center" shrinkToFit="0" vertical="center" wrapText="0"/>
    </xf>
    <xf borderId="1" fillId="5" fontId="1" numFmtId="164" xfId="0" applyAlignment="1" applyBorder="1" applyFont="1" applyNumberFormat="1">
      <alignment horizontal="center" shrinkToFit="0" vertical="center" wrapText="0"/>
    </xf>
    <xf borderId="1" fillId="6" fontId="1" numFmtId="0" xfId="0" applyAlignment="1" applyBorder="1" applyFill="1" applyFont="1">
      <alignment horizontal="center" shrinkToFit="0" vertical="center" wrapText="0"/>
    </xf>
    <xf borderId="1" fillId="6" fontId="1" numFmtId="164" xfId="0" applyAlignment="1" applyBorder="1" applyFont="1" applyNumberFormat="1">
      <alignment horizontal="center" shrinkToFit="0" vertical="center" wrapText="0"/>
    </xf>
    <xf borderId="2" fillId="7" fontId="2" numFmtId="0" xfId="0" applyAlignment="1" applyBorder="1" applyFill="1" applyFont="1">
      <alignment horizontal="center" readingOrder="0" shrinkToFit="0" vertical="center" wrapText="1"/>
    </xf>
    <xf borderId="1" fillId="8" fontId="1" numFmtId="0" xfId="0" applyAlignment="1" applyBorder="1" applyFill="1" applyFont="1">
      <alignment horizontal="left" readingOrder="0" shrinkToFit="0" vertical="center" wrapText="1"/>
    </xf>
    <xf borderId="4" fillId="8" fontId="1" numFmtId="0" xfId="0" applyAlignment="1" applyBorder="1" applyFont="1">
      <alignment horizontal="center" shrinkToFit="0" vertical="center" wrapText="1"/>
    </xf>
    <xf borderId="1" fillId="5" fontId="1" numFmtId="0" xfId="0" applyAlignment="1" applyBorder="1" applyFont="1">
      <alignment horizontal="center" shrinkToFit="0" vertical="center" wrapText="1"/>
    </xf>
    <xf borderId="1" fillId="8" fontId="1" numFmtId="0" xfId="0" applyAlignment="1" applyBorder="1" applyFont="1">
      <alignment readingOrder="0" shrinkToFit="0" vertical="center" wrapText="1"/>
    </xf>
    <xf borderId="5" fillId="5" fontId="1" numFmtId="164" xfId="0" applyAlignment="1" applyBorder="1" applyFont="1" applyNumberFormat="1">
      <alignment horizontal="center" shrinkToFit="0" vertical="center" wrapText="0"/>
    </xf>
    <xf borderId="1" fillId="5" fontId="1" numFmtId="49" xfId="0" applyAlignment="1" applyBorder="1" applyFont="1" applyNumberFormat="1">
      <alignment horizontal="center" shrinkToFit="0" vertical="center" wrapText="1"/>
    </xf>
    <xf borderId="2" fillId="9" fontId="2" numFmtId="0" xfId="0" applyAlignment="1" applyBorder="1" applyFill="1" applyFont="1">
      <alignment horizontal="center" readingOrder="0" shrinkToFit="0" vertical="center" wrapText="1"/>
    </xf>
    <xf borderId="1" fillId="9" fontId="1" numFmtId="0" xfId="0" applyAlignment="1" applyBorder="1" applyFont="1">
      <alignment horizontal="left" readingOrder="0" shrinkToFit="0" vertical="center" wrapText="1"/>
    </xf>
    <xf borderId="4" fillId="9" fontId="2" numFmtId="0" xfId="0" applyAlignment="1" applyBorder="1" applyFont="1">
      <alignment horizontal="center" shrinkToFit="0" vertical="center" wrapText="1"/>
    </xf>
    <xf borderId="0" fillId="9" fontId="4" numFmtId="0" xfId="0" applyAlignment="1" applyFont="1">
      <alignment horizontal="left" readingOrder="0" shrinkToFit="0" vertical="center" wrapText="0"/>
    </xf>
    <xf borderId="2" fillId="10" fontId="2" numFmtId="0" xfId="0" applyAlignment="1" applyBorder="1" applyFill="1" applyFont="1">
      <alignment horizontal="center" readingOrder="0" shrinkToFit="0" vertical="center" wrapText="1"/>
    </xf>
    <xf borderId="1" fillId="10" fontId="1" numFmtId="0" xfId="0" applyAlignment="1" applyBorder="1" applyFont="1">
      <alignment shrinkToFit="0" vertical="center" wrapText="1"/>
    </xf>
    <xf borderId="4" fillId="10" fontId="2" numFmtId="0" xfId="0" applyAlignment="1" applyBorder="1" applyFont="1">
      <alignment horizontal="center" shrinkToFit="0" vertical="center" wrapText="1"/>
    </xf>
    <xf borderId="1" fillId="10" fontId="1" numFmtId="0" xfId="0" applyAlignment="1" applyBorder="1" applyFont="1">
      <alignment readingOrder="0" shrinkToFit="0" vertical="center" wrapText="1"/>
    </xf>
    <xf borderId="6" fillId="10" fontId="2" numFmtId="0" xfId="0" applyAlignment="1" applyBorder="1" applyFont="1">
      <alignment horizontal="center" shrinkToFit="0" vertical="center" wrapText="1"/>
    </xf>
    <xf borderId="4" fillId="11" fontId="2" numFmtId="0" xfId="0" applyAlignment="1" applyBorder="1" applyFill="1" applyFont="1">
      <alignment horizontal="center" readingOrder="0" shrinkToFit="0" vertical="center" wrapText="1"/>
    </xf>
    <xf borderId="1" fillId="11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4" fillId="11" fontId="1" numFmtId="0" xfId="0" applyAlignment="1" applyBorder="1" applyFont="1">
      <alignment horizontal="center" shrinkToFit="0" vertical="center" wrapText="1"/>
    </xf>
    <xf borderId="1" fillId="11" fontId="1" numFmtId="0" xfId="0" applyAlignment="1" applyBorder="1" applyFont="1">
      <alignment shrinkToFit="0" vertical="center" wrapText="1"/>
    </xf>
    <xf borderId="7" fillId="0" fontId="1" numFmtId="0" xfId="0" applyAlignment="1" applyBorder="1" applyFont="1">
      <alignment horizontal="center" readingOrder="0" shrinkToFit="0" vertical="center" wrapText="1"/>
    </xf>
    <xf borderId="8" fillId="11" fontId="1" numFmtId="0" xfId="0" applyAlignment="1" applyBorder="1" applyFont="1">
      <alignment horizontal="left" readingOrder="0" shrinkToFit="0" vertical="center" wrapText="1"/>
    </xf>
    <xf borderId="2" fillId="0" fontId="0" numFmtId="0" xfId="0" applyAlignment="1" applyBorder="1" applyFont="1">
      <alignment horizontal="center" readingOrder="0" shrinkToFit="0" vertical="center" wrapText="0"/>
    </xf>
    <xf borderId="8" fillId="0" fontId="0" numFmtId="164" xfId="0" applyAlignment="1" applyBorder="1" applyFont="1" applyNumberFormat="1">
      <alignment horizontal="center" readingOrder="0" shrinkToFit="0" vertical="center" wrapText="0"/>
    </xf>
    <xf borderId="8" fillId="0" fontId="1" numFmtId="164" xfId="0" applyAlignment="1" applyBorder="1" applyFont="1" applyNumberFormat="1">
      <alignment horizontal="center" shrinkToFit="0" vertical="center" wrapText="1"/>
    </xf>
    <xf borderId="8" fillId="0" fontId="1" numFmtId="49" xfId="0" applyAlignment="1" applyBorder="1" applyFont="1" applyNumberFormat="1">
      <alignment horizontal="center" readingOrder="0" shrinkToFit="0" vertical="center" wrapText="1"/>
    </xf>
    <xf borderId="8" fillId="0" fontId="0" numFmtId="0" xfId="0" applyAlignment="1" applyBorder="1" applyFont="1">
      <alignment horizontal="center" readingOrder="0" shrinkToFit="0" vertical="center" wrapText="0"/>
    </xf>
    <xf borderId="9" fillId="3" fontId="2" numFmtId="0" xfId="0" applyAlignment="1" applyBorder="1" applyFont="1">
      <alignment horizontal="center" readingOrder="0" shrinkToFit="0" vertical="center" wrapText="1"/>
    </xf>
    <xf borderId="10" fillId="0" fontId="1" numFmtId="0" xfId="0" applyAlignment="1" applyBorder="1" applyFont="1">
      <alignment horizontal="center" readingOrder="0" shrinkToFit="0" vertical="center" wrapText="1"/>
    </xf>
    <xf borderId="11" fillId="3" fontId="4" numFmtId="0" xfId="0" applyAlignment="1" applyBorder="1" applyFont="1">
      <alignment horizontal="left" readingOrder="0" shrinkToFit="0" vertical="center" wrapText="1"/>
    </xf>
    <xf borderId="11" fillId="0" fontId="0" numFmtId="0" xfId="0" applyAlignment="1" applyBorder="1" applyFont="1">
      <alignment horizontal="center" readingOrder="0" shrinkToFit="0" vertical="center" wrapText="0"/>
    </xf>
    <xf borderId="6" fillId="0" fontId="0" numFmtId="164" xfId="0" applyAlignment="1" applyBorder="1" applyFont="1" applyNumberFormat="1">
      <alignment horizontal="center" readingOrder="0" shrinkToFit="0" vertical="center" wrapText="0"/>
    </xf>
    <xf borderId="11" fillId="0" fontId="0" numFmtId="164" xfId="0" applyAlignment="1" applyBorder="1" applyFont="1" applyNumberFormat="1">
      <alignment horizontal="center" readingOrder="0" shrinkToFit="0" vertical="center" wrapText="0"/>
    </xf>
    <xf borderId="6" fillId="0" fontId="1" numFmtId="49" xfId="0" applyAlignment="1" applyBorder="1" applyFont="1" applyNumberFormat="1">
      <alignment horizontal="center" readingOrder="0" shrinkToFit="0" vertical="center" wrapText="1"/>
    </xf>
    <xf borderId="12" fillId="3" fontId="2" numFmtId="0" xfId="0" applyAlignment="1" applyBorder="1" applyFont="1">
      <alignment horizontal="center" readingOrder="0" shrinkToFit="0" vertical="center" wrapText="1"/>
    </xf>
    <xf borderId="6" fillId="3" fontId="4" numFmtId="0" xfId="0" applyAlignment="1" applyBorder="1" applyFont="1">
      <alignment horizontal="left" readingOrder="0" shrinkToFit="0" vertical="center" wrapText="1"/>
    </xf>
    <xf borderId="6" fillId="4" fontId="4" numFmtId="0" xfId="0" applyAlignment="1" applyBorder="1" applyFont="1">
      <alignment horizontal="left" readingOrder="0" shrinkToFit="0" vertical="center" wrapText="1"/>
    </xf>
    <xf borderId="1" fillId="6" fontId="5" numFmtId="0" xfId="0" applyAlignment="1" applyBorder="1" applyFont="1">
      <alignment horizontal="center" shrinkToFit="0" vertical="center" wrapText="0"/>
    </xf>
    <xf borderId="13" fillId="0" fontId="1" numFmtId="0" xfId="0" applyAlignment="1" applyBorder="1" applyFont="1">
      <alignment horizontal="center" readingOrder="0" shrinkToFit="0" vertical="center" wrapText="1"/>
    </xf>
    <xf borderId="1" fillId="5" fontId="5" numFmtId="0" xfId="0" applyAlignment="1" applyBorder="1" applyFont="1">
      <alignment horizontal="center" shrinkToFit="0" vertical="center" wrapText="0"/>
    </xf>
    <xf borderId="1" fillId="4" fontId="1" numFmtId="0" xfId="0" applyAlignment="1" applyBorder="1" applyFont="1">
      <alignment readingOrder="0" shrinkToFit="0" vertical="center" wrapText="1"/>
    </xf>
    <xf borderId="6" fillId="4" fontId="2" numFmtId="0" xfId="0" applyAlignment="1" applyBorder="1" applyFont="1">
      <alignment horizontal="center" readingOrder="0" shrinkToFit="0" vertical="center" wrapText="1"/>
    </xf>
    <xf borderId="4" fillId="8" fontId="2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6" fillId="8" fontId="1" numFmtId="0" xfId="0" applyAlignment="1" applyBorder="1" applyFont="1">
      <alignment horizontal="center" shrinkToFit="0" vertical="center" wrapText="1"/>
    </xf>
    <xf borderId="4" fillId="10" fontId="2" numFmtId="0" xfId="0" applyAlignment="1" applyBorder="1" applyFont="1">
      <alignment horizontal="center" readingOrder="0" shrinkToFit="0" vertical="center" wrapText="1"/>
    </xf>
    <xf borderId="1" fillId="10" fontId="1" numFmtId="0" xfId="0" applyAlignment="1" applyBorder="1" applyFont="1">
      <alignment horizontal="left" readingOrder="0" shrinkToFit="0" vertical="center" wrapText="1"/>
    </xf>
    <xf borderId="1" fillId="6" fontId="1" numFmtId="0" xfId="0" applyAlignment="1" applyBorder="1" applyFont="1">
      <alignment horizontal="center" shrinkToFit="0" vertical="center" wrapText="1"/>
    </xf>
    <xf borderId="2" fillId="12" fontId="2" numFmtId="0" xfId="0" applyAlignment="1" applyBorder="1" applyFill="1" applyFont="1">
      <alignment horizontal="center" readingOrder="0" shrinkToFit="0" vertical="center" wrapText="1"/>
    </xf>
    <xf borderId="1" fillId="12" fontId="1" numFmtId="0" xfId="0" applyAlignment="1" applyBorder="1" applyFont="1">
      <alignment horizontal="left" readingOrder="0" shrinkToFit="0" vertical="center" wrapText="1"/>
    </xf>
    <xf borderId="4" fillId="12" fontId="2" numFmtId="0" xfId="0" applyAlignment="1" applyBorder="1" applyFont="1">
      <alignment horizontal="center" shrinkToFit="0" vertical="center" wrapText="1"/>
    </xf>
    <xf borderId="1" fillId="12" fontId="1" numFmtId="0" xfId="0" applyAlignment="1" applyBorder="1" applyFont="1">
      <alignment readingOrder="0" shrinkToFit="0" vertical="center" wrapText="1"/>
    </xf>
    <xf borderId="6" fillId="12" fontId="2" numFmtId="0" xfId="0" applyAlignment="1" applyBorder="1" applyFont="1">
      <alignment horizontal="center" shrinkToFit="0" vertical="center" wrapText="1"/>
    </xf>
    <xf borderId="1" fillId="11" fontId="1" numFmtId="0" xfId="0" applyAlignment="1" applyBorder="1" applyFont="1">
      <alignment horizontal="left" readingOrder="0" shrinkToFit="0" vertical="center" wrapText="1"/>
    </xf>
    <xf borderId="4" fillId="11" fontId="2" numFmtId="0" xfId="0" applyAlignment="1" applyBorder="1" applyFont="1">
      <alignment horizontal="center" shrinkToFit="0" vertical="center" wrapText="1"/>
    </xf>
    <xf borderId="2" fillId="11" fontId="1" numFmtId="0" xfId="0" applyAlignment="1" applyBorder="1" applyFont="1">
      <alignment horizontal="left" readingOrder="0" shrinkToFit="0" vertical="center" wrapText="1"/>
    </xf>
    <xf borderId="2" fillId="6" fontId="1" numFmtId="0" xfId="0" applyAlignment="1" applyBorder="1" applyFont="1">
      <alignment horizontal="center" shrinkToFit="0" vertical="center" wrapText="1"/>
    </xf>
    <xf borderId="2" fillId="0" fontId="0" numFmtId="164" xfId="0" applyAlignment="1" applyBorder="1" applyFont="1" applyNumberFormat="1">
      <alignment horizontal="center" readingOrder="0" shrinkToFit="0" vertical="center" wrapText="0"/>
    </xf>
    <xf borderId="10" fillId="3" fontId="2" numFmtId="0" xfId="0" applyAlignment="1" applyBorder="1" applyFont="1">
      <alignment horizontal="center" readingOrder="0" shrinkToFit="0" vertical="center" wrapText="1"/>
    </xf>
    <xf borderId="14" fillId="0" fontId="1" numFmtId="0" xfId="0" applyAlignment="1" applyBorder="1" applyFont="1">
      <alignment horizontal="center" readingOrder="0" shrinkToFit="0" vertical="center" wrapText="1"/>
    </xf>
    <xf borderId="11" fillId="3" fontId="1" numFmtId="0" xfId="0" applyAlignment="1" applyBorder="1" applyFont="1">
      <alignment horizontal="left" readingOrder="0" shrinkToFit="0" vertical="center" wrapText="1"/>
    </xf>
    <xf borderId="11" fillId="0" fontId="1" numFmtId="49" xfId="0" applyAlignment="1" applyBorder="1" applyFont="1" applyNumberFormat="1">
      <alignment horizontal="center" readingOrder="0" shrinkToFit="0" vertical="center" wrapText="1"/>
    </xf>
    <xf borderId="6" fillId="3" fontId="1" numFmtId="0" xfId="0" applyAlignment="1" applyBorder="1" applyFont="1">
      <alignment horizontal="left" readingOrder="0" shrinkToFit="0" vertical="center" wrapText="1"/>
    </xf>
    <xf borderId="6" fillId="0" fontId="0" numFmtId="0" xfId="0" applyAlignment="1" applyBorder="1" applyFont="1">
      <alignment horizontal="center" readingOrder="0" shrinkToFit="0" vertical="center" wrapText="0"/>
    </xf>
    <xf borderId="15" fillId="6" fontId="1" numFmtId="164" xfId="0" applyAlignment="1" applyBorder="1" applyFont="1" applyNumberFormat="1">
      <alignment horizontal="center" shrinkToFit="0" vertical="center" wrapText="0"/>
    </xf>
    <xf borderId="2" fillId="8" fontId="2" numFmtId="0" xfId="0" applyAlignment="1" applyBorder="1" applyFont="1">
      <alignment horizontal="center" readingOrder="0" shrinkToFit="0" vertical="center" wrapText="1"/>
    </xf>
    <xf borderId="1" fillId="8" fontId="1" numFmtId="0" xfId="0" applyAlignment="1" applyBorder="1" applyFont="1">
      <alignment shrinkToFit="0" vertical="center" wrapText="1"/>
    </xf>
    <xf borderId="1" fillId="9" fontId="1" numFmtId="0" xfId="0" applyAlignment="1" applyBorder="1" applyFont="1">
      <alignment shrinkToFit="0" vertical="center" wrapText="1"/>
    </xf>
    <xf borderId="4" fillId="9" fontId="1" numFmtId="0" xfId="0" applyAlignment="1" applyBorder="1" applyFont="1">
      <alignment horizontal="center" shrinkToFit="0" vertical="center" wrapText="1"/>
    </xf>
    <xf borderId="6" fillId="9" fontId="1" numFmtId="0" xfId="0" applyAlignment="1" applyBorder="1" applyFont="1">
      <alignment horizontal="center" shrinkToFit="0" vertical="center" wrapText="1"/>
    </xf>
    <xf borderId="2" fillId="11" fontId="2" numFmtId="0" xfId="0" applyAlignment="1" applyBorder="1" applyFont="1">
      <alignment horizontal="center" readingOrder="0" shrinkToFit="0" vertical="center" wrapText="1"/>
    </xf>
    <xf borderId="2" fillId="0" fontId="1" numFmtId="49" xfId="0" applyAlignment="1" applyBorder="1" applyFont="1" applyNumberFormat="1">
      <alignment horizontal="center" readingOrder="0" shrinkToFit="0" vertical="center" wrapText="1"/>
    </xf>
    <xf borderId="3" fillId="5" fontId="1" numFmtId="0" xfId="0" applyAlignment="1" applyBorder="1" applyFont="1">
      <alignment horizontal="center" shrinkToFit="0" vertical="center" wrapText="1"/>
    </xf>
    <xf borderId="1" fillId="9" fontId="1" numFmtId="0" xfId="0" applyAlignment="1" applyBorder="1" applyFont="1">
      <alignment readingOrder="0" shrinkToFit="0" vertical="center" wrapText="1"/>
    </xf>
    <xf borderId="1" fillId="5" fontId="1" numFmtId="0" xfId="0" applyAlignment="1" applyBorder="1" applyFont="1">
      <alignment horizontal="center" shrinkToFit="0" vertical="center" wrapText="0"/>
    </xf>
    <xf borderId="1" fillId="5" fontId="1" numFmtId="49" xfId="0" applyAlignment="1" applyBorder="1" applyFont="1" applyNumberFormat="1">
      <alignment horizontal="center" readingOrder="0" shrinkToFit="0" vertical="center" wrapText="1"/>
    </xf>
    <xf borderId="4" fillId="9" fontId="6" numFmtId="0" xfId="0" applyAlignment="1" applyBorder="1" applyFont="1">
      <alignment horizontal="center" readingOrder="0" shrinkToFit="0" vertical="center" wrapText="0"/>
    </xf>
    <xf borderId="3" fillId="6" fontId="1" numFmtId="0" xfId="0" applyAlignment="1" applyBorder="1" applyFont="1">
      <alignment horizontal="center" shrinkToFit="0" vertical="center" wrapText="1"/>
    </xf>
    <xf borderId="1" fillId="9" fontId="1" numFmtId="0" xfId="0" applyAlignment="1" applyBorder="1" applyFont="1">
      <alignment shrinkToFit="0" vertical="center" wrapText="1"/>
    </xf>
    <xf borderId="1" fillId="6" fontId="1" numFmtId="0" xfId="0" applyAlignment="1" applyBorder="1" applyFont="1">
      <alignment horizontal="center" shrinkToFit="0" vertical="center" wrapText="0"/>
    </xf>
    <xf borderId="1" fillId="6" fontId="1" numFmtId="49" xfId="0" applyAlignment="1" applyBorder="1" applyFont="1" applyNumberFormat="1">
      <alignment horizontal="center" shrinkToFit="0" vertical="center" wrapText="1"/>
    </xf>
    <xf borderId="1" fillId="6" fontId="1" numFmtId="0" xfId="0" applyAlignment="1" applyBorder="1" applyFont="1">
      <alignment horizontal="center" shrinkToFit="0" vertical="center" wrapText="1"/>
    </xf>
    <xf borderId="4" fillId="9" fontId="7" numFmtId="0" xfId="0" applyAlignment="1" applyBorder="1" applyFont="1">
      <alignment horizontal="center" shrinkToFit="0" vertical="center" wrapText="0"/>
    </xf>
    <xf borderId="1" fillId="5" fontId="1" numFmtId="0" xfId="0" applyAlignment="1" applyBorder="1" applyFont="1">
      <alignment horizontal="center" readingOrder="0" shrinkToFit="0" vertical="center" wrapText="0"/>
    </xf>
    <xf borderId="6" fillId="9" fontId="7" numFmtId="0" xfId="0" applyAlignment="1" applyBorder="1" applyFont="1">
      <alignment horizontal="center" shrinkToFit="0" vertical="center" wrapText="0"/>
    </xf>
    <xf borderId="2" fillId="13" fontId="2" numFmtId="0" xfId="0" applyAlignment="1" applyBorder="1" applyFill="1" applyFont="1">
      <alignment horizontal="center" readingOrder="0" shrinkToFit="0" vertical="center" wrapText="1"/>
    </xf>
    <xf borderId="1" fillId="13" fontId="1" numFmtId="0" xfId="0" applyAlignment="1" applyBorder="1" applyFont="1">
      <alignment horizontal="left" readingOrder="0" shrinkToFit="0" vertical="center" wrapText="1"/>
    </xf>
    <xf borderId="4" fillId="13" fontId="2" numFmtId="0" xfId="0" applyAlignment="1" applyBorder="1" applyFont="1">
      <alignment horizontal="center" shrinkToFit="0" vertical="center" wrapText="1"/>
    </xf>
    <xf borderId="1" fillId="6" fontId="1" numFmtId="0" xfId="0" applyAlignment="1" applyBorder="1" applyFont="1">
      <alignment horizontal="center" readingOrder="0" shrinkToFit="0" vertical="center" wrapText="0"/>
    </xf>
    <xf borderId="16" fillId="13" fontId="2" numFmtId="0" xfId="0" applyAlignment="1" applyBorder="1" applyFont="1">
      <alignment horizontal="center" readingOrder="0" shrinkToFit="0" vertical="center" wrapText="1"/>
    </xf>
    <xf borderId="8" fillId="0" fontId="1" numFmtId="0" xfId="0" applyAlignment="1" applyBorder="1" applyFont="1">
      <alignment horizontal="center" readingOrder="0" shrinkToFit="0" vertical="center" wrapText="1"/>
    </xf>
    <xf borderId="8" fillId="13" fontId="1" numFmtId="0" xfId="0" applyAlignment="1" applyBorder="1" applyFont="1">
      <alignment horizontal="left" readingOrder="0" shrinkToFit="0" vertical="center" wrapText="1"/>
    </xf>
    <xf borderId="8" fillId="6" fontId="1" numFmtId="0" xfId="0" applyAlignment="1" applyBorder="1" applyFont="1">
      <alignment horizontal="center" shrinkToFit="0" vertical="center" wrapText="1"/>
    </xf>
    <xf borderId="12" fillId="4" fontId="2" numFmtId="0" xfId="0" applyAlignment="1" applyBorder="1" applyFont="1">
      <alignment horizontal="center" readingOrder="0" shrinkToFit="0" vertical="center" wrapText="1"/>
    </xf>
    <xf borderId="0" fillId="4" fontId="4" numFmtId="0" xfId="0" applyAlignment="1" applyFont="1">
      <alignment horizontal="center" shrinkToFit="0" vertical="center" wrapText="1"/>
    </xf>
    <xf borderId="4" fillId="4" fontId="4" numFmtId="0" xfId="0" applyAlignment="1" applyBorder="1" applyFont="1">
      <alignment horizontal="center" shrinkToFit="0" vertical="center" wrapText="1"/>
    </xf>
    <xf borderId="6" fillId="4" fontId="4" numFmtId="0" xfId="0" applyAlignment="1" applyBorder="1" applyFont="1">
      <alignment horizontal="center" shrinkToFit="0" vertical="center" wrapText="1"/>
    </xf>
    <xf borderId="0" fillId="7" fontId="8" numFmtId="0" xfId="0" applyAlignment="1" applyFont="1">
      <alignment horizontal="center" readingOrder="0" shrinkToFit="0" vertical="center" wrapText="1"/>
    </xf>
    <xf borderId="1" fillId="7" fontId="1" numFmtId="0" xfId="0" applyAlignment="1" applyBorder="1" applyFont="1">
      <alignment readingOrder="0" shrinkToFit="0" vertical="center" wrapText="1"/>
    </xf>
    <xf borderId="0" fillId="7" fontId="4" numFmtId="0" xfId="0" applyAlignment="1" applyFont="1">
      <alignment horizontal="center" shrinkToFit="0" vertical="center" wrapText="1"/>
    </xf>
    <xf borderId="1" fillId="7" fontId="4" numFmtId="0" xfId="0" applyAlignment="1" applyBorder="1" applyFont="1">
      <alignment readingOrder="0" shrinkToFit="0" vertical="center" wrapText="1"/>
    </xf>
    <xf borderId="12" fillId="10" fontId="2" numFmtId="0" xfId="0" applyAlignment="1" applyBorder="1" applyFont="1">
      <alignment horizontal="center" readingOrder="0" shrinkToFit="0" vertical="center" wrapText="1"/>
    </xf>
    <xf borderId="17" fillId="10" fontId="2" numFmtId="0" xfId="0" applyAlignment="1" applyBorder="1" applyFont="1">
      <alignment horizontal="center" readingOrder="0" shrinkToFit="0" vertical="center" wrapText="1"/>
    </xf>
    <xf borderId="0" fillId="10" fontId="4" numFmtId="0" xfId="0" applyAlignment="1" applyFont="1">
      <alignment horizontal="center" readingOrder="0" shrinkToFit="0" vertical="center" wrapText="1"/>
    </xf>
    <xf borderId="0" fillId="12" fontId="4" numFmtId="0" xfId="0" applyAlignment="1" applyFont="1">
      <alignment horizontal="center" shrinkToFit="0" vertical="center" wrapText="1"/>
    </xf>
    <xf borderId="18" fillId="12" fontId="4" numFmtId="0" xfId="0" applyAlignment="1" applyBorder="1" applyFont="1">
      <alignment horizontal="center" shrinkToFit="0" vertical="center" wrapText="1"/>
    </xf>
    <xf borderId="1" fillId="12" fontId="4" numFmtId="0" xfId="0" applyAlignment="1" applyBorder="1" applyFont="1">
      <alignment readingOrder="0" shrinkToFit="0" vertical="center" wrapText="1"/>
    </xf>
    <xf borderId="0" fillId="9" fontId="4" numFmtId="0" xfId="0" applyAlignment="1" applyFont="1">
      <alignment horizontal="center" shrinkToFit="0" vertical="center" wrapText="1"/>
    </xf>
    <xf borderId="1" fillId="7" fontId="1" numFmtId="0" xfId="0" applyAlignment="1" applyBorder="1" applyFont="1">
      <alignment shrinkToFit="0" vertical="center" wrapText="1"/>
    </xf>
    <xf borderId="0" fillId="8" fontId="4" numFmtId="0" xfId="0" applyAlignment="1" applyFont="1">
      <alignment horizontal="center" shrinkToFit="0" vertical="center" wrapText="1"/>
    </xf>
    <xf borderId="6" fillId="8" fontId="4" numFmtId="0" xfId="0" applyAlignment="1" applyBorder="1" applyFont="1">
      <alignment horizontal="center" shrinkToFit="0" vertical="center" wrapText="1"/>
    </xf>
    <xf borderId="1" fillId="7" fontId="1" numFmtId="0" xfId="0" applyAlignment="1" applyBorder="1" applyFont="1">
      <alignment shrinkToFit="0" vertical="center" wrapText="1"/>
    </xf>
    <xf borderId="1" fillId="13" fontId="1" numFmtId="0" xfId="0" applyAlignment="1" applyBorder="1" applyFont="1">
      <alignment readingOrder="0" shrinkToFit="0" vertical="center" wrapText="1"/>
    </xf>
    <xf borderId="4" fillId="13" fontId="4" numFmtId="0" xfId="0" applyAlignment="1" applyBorder="1" applyFont="1">
      <alignment horizontal="center" shrinkToFit="0" vertical="center" wrapText="1"/>
    </xf>
    <xf borderId="4" fillId="13" fontId="8" numFmtId="0" xfId="0" applyAlignment="1" applyBorder="1" applyFont="1">
      <alignment horizontal="center" shrinkToFit="0" vertical="center" wrapText="1"/>
    </xf>
    <xf borderId="1" fillId="5" fontId="1" numFmtId="0" xfId="0" applyAlignment="1" applyBorder="1" applyFont="1">
      <alignment horizontal="center" shrinkToFit="0" vertical="center" wrapText="1"/>
    </xf>
    <xf borderId="19" fillId="12" fontId="2" numFmtId="0" xfId="0" applyAlignment="1" applyBorder="1" applyFont="1">
      <alignment horizontal="center" shrinkToFit="0" vertical="center" wrapText="1"/>
    </xf>
    <xf borderId="1" fillId="12" fontId="1" numFmtId="0" xfId="0" applyAlignment="1" applyBorder="1" applyFont="1">
      <alignment shrinkToFit="0" vertical="center" wrapText="1"/>
    </xf>
    <xf borderId="0" fillId="12" fontId="6" numFmtId="0" xfId="0" applyAlignment="1" applyFont="1">
      <alignment horizontal="center" shrinkToFit="0" vertical="center" wrapText="0"/>
    </xf>
    <xf borderId="19" fillId="9" fontId="6" numFmtId="0" xfId="0" applyAlignment="1" applyBorder="1" applyFont="1">
      <alignment horizontal="center" shrinkToFit="0" vertical="center" wrapText="0"/>
    </xf>
    <xf borderId="0" fillId="9" fontId="6" numFmtId="0" xfId="0" applyAlignment="1" applyFont="1">
      <alignment horizontal="center" shrinkToFit="0" vertical="center" wrapText="0"/>
    </xf>
    <xf borderId="19" fillId="13" fontId="6" numFmtId="0" xfId="0" applyAlignment="1" applyBorder="1" applyFont="1">
      <alignment horizontal="center" shrinkToFit="0" vertical="center" wrapText="0"/>
    </xf>
    <xf borderId="1" fillId="13" fontId="1" numFmtId="0" xfId="0" applyAlignment="1" applyBorder="1" applyFont="1">
      <alignment shrinkToFit="0" vertical="center" wrapText="1"/>
    </xf>
    <xf borderId="0" fillId="13" fontId="6" numFmtId="0" xfId="0" applyAlignment="1" applyFont="1">
      <alignment horizontal="center" shrinkToFit="0" vertical="center" wrapText="0"/>
    </xf>
    <xf borderId="4" fillId="12" fontId="4" numFmtId="0" xfId="0" applyAlignment="1" applyBorder="1" applyFont="1">
      <alignment horizontal="center" shrinkToFit="0" vertical="center" wrapText="1"/>
    </xf>
    <xf borderId="6" fillId="12" fontId="4" numFmtId="0" xfId="0" applyAlignment="1" applyBorder="1" applyFont="1">
      <alignment horizontal="center" shrinkToFit="0" vertical="center" wrapText="1"/>
    </xf>
    <xf borderId="1" fillId="9" fontId="4" numFmtId="0" xfId="0" applyAlignment="1" applyBorder="1" applyFont="1">
      <alignment readingOrder="0" shrinkToFit="0" vertical="center" wrapText="1"/>
    </xf>
    <xf borderId="4" fillId="9" fontId="4" numFmtId="0" xfId="0" applyAlignment="1" applyBorder="1" applyFont="1">
      <alignment horizontal="center" shrinkToFit="0" vertical="center" wrapText="1"/>
    </xf>
    <xf borderId="18" fillId="9" fontId="4" numFmtId="0" xfId="0" applyAlignment="1" applyBorder="1" applyFont="1">
      <alignment horizontal="center" shrinkToFit="0" vertical="center" wrapText="1"/>
    </xf>
    <xf borderId="0" fillId="13" fontId="4" numFmtId="0" xfId="0" applyAlignment="1" applyFont="1">
      <alignment horizontal="center" shrinkToFit="0" vertical="center" wrapText="1"/>
    </xf>
    <xf borderId="1" fillId="13" fontId="4" numFmtId="0" xfId="0" applyAlignment="1" applyBorder="1" applyFont="1">
      <alignment readingOrder="0" shrinkToFit="0" vertical="center" wrapText="1"/>
    </xf>
    <xf borderId="16" fillId="13" fontId="4" numFmtId="0" xfId="0" applyAlignment="1" applyBorder="1" applyFont="1">
      <alignment horizontal="center" shrinkToFit="0" vertical="center" wrapText="1"/>
    </xf>
    <xf borderId="20" fillId="6" fontId="1" numFmtId="0" xfId="0" applyAlignment="1" applyBorder="1" applyFont="1">
      <alignment horizontal="center" shrinkToFit="0" vertical="center" wrapText="1"/>
    </xf>
    <xf borderId="8" fillId="13" fontId="4" numFmtId="0" xfId="0" applyAlignment="1" applyBorder="1" applyFont="1">
      <alignment readingOrder="0" shrinkToFit="0" vertical="center" wrapText="1"/>
    </xf>
    <xf borderId="8" fillId="6" fontId="1" numFmtId="0" xfId="0" applyAlignment="1" applyBorder="1" applyFont="1">
      <alignment horizontal="center" shrinkToFit="0" vertical="center" wrapText="1"/>
    </xf>
    <xf borderId="8" fillId="6" fontId="1" numFmtId="164" xfId="0" applyAlignment="1" applyBorder="1" applyFont="1" applyNumberFormat="1">
      <alignment horizontal="center" shrinkToFit="0" vertical="center" wrapText="0"/>
    </xf>
    <xf borderId="8" fillId="6" fontId="1" numFmtId="0" xfId="0" applyAlignment="1" applyBorder="1" applyFont="1">
      <alignment horizontal="center" readingOrder="0" shrinkToFit="0" vertical="center" wrapText="0"/>
    </xf>
    <xf borderId="4" fillId="7" fontId="1" numFmtId="0" xfId="0" applyAlignment="1" applyBorder="1" applyFont="1">
      <alignment horizontal="center" shrinkToFit="0" vertical="center" wrapText="1"/>
    </xf>
    <xf borderId="1" fillId="7" fontId="1" numFmtId="0" xfId="0" applyAlignment="1" applyBorder="1" applyFont="1">
      <alignment horizontal="left" readingOrder="0" shrinkToFit="0" vertical="center" wrapText="1"/>
    </xf>
    <xf borderId="6" fillId="7" fontId="1" numFmtId="0" xfId="0" applyAlignment="1" applyBorder="1" applyFont="1">
      <alignment horizontal="center" shrinkToFit="0" vertical="center" wrapText="1"/>
    </xf>
    <xf borderId="6" fillId="9" fontId="2" numFmtId="0" xfId="0" applyAlignment="1" applyBorder="1" applyFont="1">
      <alignment horizontal="center" shrinkToFit="0" vertical="center" wrapText="1"/>
    </xf>
    <xf borderId="4" fillId="8" fontId="2" numFmtId="0" xfId="0" applyAlignment="1" applyBorder="1" applyFont="1">
      <alignment horizontal="center" shrinkToFit="0" vertical="center" wrapText="1"/>
    </xf>
    <xf borderId="6" fillId="8" fontId="2" numFmtId="0" xfId="0" applyAlignment="1" applyBorder="1" applyFont="1">
      <alignment horizontal="center" shrinkToFit="0" vertical="center" wrapText="1"/>
    </xf>
    <xf borderId="6" fillId="13" fontId="4" numFmtId="0" xfId="0" applyAlignment="1" applyBorder="1" applyFont="1">
      <alignment horizontal="center" shrinkToFit="0" vertical="center" wrapText="1"/>
    </xf>
    <xf borderId="4" fillId="8" fontId="4" numFmtId="0" xfId="0" applyAlignment="1" applyBorder="1" applyFont="1">
      <alignment horizontal="center" shrinkToFit="0" vertical="center" wrapText="1"/>
    </xf>
    <xf borderId="13" fillId="8" fontId="4" numFmtId="0" xfId="0" applyAlignment="1" applyBorder="1" applyFont="1">
      <alignment horizontal="center" shrinkToFit="0" vertical="center" wrapText="1"/>
    </xf>
    <xf borderId="21" fillId="8" fontId="8" numFmtId="0" xfId="0" applyAlignment="1" applyBorder="1" applyFont="1">
      <alignment horizontal="center" readingOrder="0" shrinkToFit="0" vertical="center" wrapText="1"/>
    </xf>
    <xf borderId="21" fillId="8" fontId="4" numFmtId="0" xfId="0" applyAlignment="1" applyBorder="1" applyFont="1">
      <alignment horizontal="center" shrinkToFit="0" vertical="center" wrapText="1"/>
    </xf>
    <xf borderId="3" fillId="6" fontId="1" numFmtId="0" xfId="0" applyAlignment="1" applyBorder="1" applyFont="1">
      <alignment horizontal="center" shrinkToFit="0" vertical="center" wrapText="1"/>
    </xf>
    <xf borderId="21" fillId="11" fontId="8" numFmtId="0" xfId="0" applyAlignment="1" applyBorder="1" applyFont="1">
      <alignment horizontal="center" readingOrder="0" shrinkToFit="0" vertical="center" wrapText="1"/>
    </xf>
    <xf borderId="21" fillId="11" fontId="4" numFmtId="0" xfId="0" applyAlignment="1" applyBorder="1" applyFont="1">
      <alignment horizontal="center" shrinkToFit="0" vertical="center" wrapText="1"/>
    </xf>
    <xf borderId="4" fillId="11" fontId="8" numFmtId="0" xfId="0" applyAlignment="1" applyBorder="1" applyFont="1">
      <alignment horizontal="center" readingOrder="0" shrinkToFit="0" vertical="center" wrapText="1"/>
    </xf>
    <xf borderId="4" fillId="11" fontId="4" numFmtId="0" xfId="0" applyAlignment="1" applyBorder="1" applyFont="1">
      <alignment horizontal="center" shrinkToFit="0" vertical="center" wrapText="1"/>
    </xf>
    <xf borderId="4" fillId="8" fontId="8" numFmtId="0" xfId="0" applyAlignment="1" applyBorder="1" applyFont="1">
      <alignment horizontal="center" readingOrder="0" shrinkToFit="0" vertical="center" wrapText="1"/>
    </xf>
    <xf borderId="21" fillId="9" fontId="8" numFmtId="0" xfId="0" applyAlignment="1" applyBorder="1" applyFont="1">
      <alignment horizontal="center" readingOrder="0" shrinkToFit="0" vertical="center" wrapText="1"/>
    </xf>
    <xf borderId="21" fillId="9" fontId="4" numFmtId="0" xfId="0" applyAlignment="1" applyBorder="1" applyFont="1">
      <alignment horizontal="center" shrinkToFit="0" vertical="center" wrapText="1"/>
    </xf>
    <xf borderId="4" fillId="9" fontId="8" numFmtId="0" xfId="0" applyAlignment="1" applyBorder="1" applyFont="1">
      <alignment horizontal="center" readingOrder="0" shrinkToFit="0" vertical="center" wrapText="1"/>
    </xf>
    <xf borderId="21" fillId="13" fontId="8" numFmtId="0" xfId="0" applyAlignment="1" applyBorder="1" applyFont="1">
      <alignment horizontal="center" readingOrder="0" shrinkToFit="0" vertical="center" wrapText="1"/>
    </xf>
    <xf borderId="21" fillId="13" fontId="4" numFmtId="0" xfId="0" applyAlignment="1" applyBorder="1" applyFont="1">
      <alignment horizontal="center" shrinkToFit="0" vertical="center" wrapText="1"/>
    </xf>
    <xf borderId="4" fillId="13" fontId="8" numFmtId="0" xfId="0" applyAlignment="1" applyBorder="1" applyFont="1">
      <alignment horizontal="center" readingOrder="0" shrinkToFit="0" vertical="center" wrapText="1"/>
    </xf>
    <xf borderId="22" fillId="4" fontId="4" numFmtId="0" xfId="0" applyAlignment="1" applyBorder="1" applyFont="1">
      <alignment horizontal="center" shrinkToFit="0" vertical="center" wrapText="1"/>
    </xf>
    <xf borderId="8" fillId="4" fontId="1" numFmtId="0" xfId="0" applyAlignment="1" applyBorder="1" applyFont="1">
      <alignment readingOrder="0" shrinkToFit="0" vertical="center" wrapText="1"/>
    </xf>
    <xf borderId="8" fillId="0" fontId="4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2" fillId="3" fontId="1" numFmtId="0" xfId="0" applyAlignment="1" applyBorder="1" applyFont="1">
      <alignment horizontal="left" readingOrder="0" shrinkToFit="0" vertical="center" wrapText="1"/>
    </xf>
    <xf borderId="4" fillId="0" fontId="1" numFmtId="49" xfId="0" applyAlignment="1" applyBorder="1" applyFont="1" applyNumberFormat="1">
      <alignment horizontal="center" readingOrder="0" shrinkToFit="0" vertical="center" wrapText="1"/>
    </xf>
    <xf borderId="0" fillId="3" fontId="2" numFmtId="0" xfId="0" applyAlignment="1" applyFont="1">
      <alignment horizontal="center" readingOrder="0" shrinkToFit="0" vertical="center" wrapText="1"/>
    </xf>
    <xf borderId="19" fillId="12" fontId="4" numFmtId="0" xfId="0" applyAlignment="1" applyBorder="1" applyFont="1">
      <alignment horizontal="center" shrinkToFit="0" vertical="center" wrapText="1"/>
    </xf>
    <xf borderId="0" fillId="11" fontId="4" numFmtId="0" xfId="0" applyAlignment="1" applyFont="1">
      <alignment horizontal="center" shrinkToFit="0" vertical="center" wrapText="1"/>
    </xf>
    <xf borderId="19" fillId="11" fontId="4" numFmtId="0" xfId="0" applyAlignment="1" applyBorder="1" applyFont="1">
      <alignment horizontal="center" shrinkToFit="0" vertical="center" wrapText="1"/>
    </xf>
    <xf borderId="19" fillId="4" fontId="4" numFmtId="0" xfId="0" applyAlignment="1" applyBorder="1" applyFont="1">
      <alignment horizontal="center" shrinkToFit="0" vertical="center" wrapText="1"/>
    </xf>
    <xf borderId="19" fillId="9" fontId="4" numFmtId="0" xfId="0" applyAlignment="1" applyBorder="1" applyFont="1">
      <alignment horizontal="center" shrinkToFit="0" vertical="center" wrapText="1"/>
    </xf>
    <xf borderId="19" fillId="8" fontId="4" numFmtId="0" xfId="0" applyAlignment="1" applyBorder="1" applyFont="1">
      <alignment horizontal="center" shrinkToFit="0" vertical="center" wrapText="1"/>
    </xf>
    <xf borderId="0" fillId="3" fontId="4" numFmtId="0" xfId="0" applyAlignment="1" applyFont="1">
      <alignment horizontal="center" shrinkToFit="0" vertical="center" wrapText="1"/>
    </xf>
    <xf borderId="19" fillId="3" fontId="4" numFmtId="0" xfId="0" applyAlignment="1" applyBorder="1" applyFont="1">
      <alignment horizontal="center" shrinkToFit="0" vertical="center" wrapText="1"/>
    </xf>
    <xf borderId="0" fillId="8" fontId="2" numFmtId="0" xfId="0" applyAlignment="1" applyFont="1">
      <alignment horizontal="center" readingOrder="0" shrinkToFit="0" vertical="center" wrapText="1"/>
    </xf>
    <xf borderId="18" fillId="8" fontId="4" numFmtId="0" xfId="0" applyAlignment="1" applyBorder="1" applyFont="1">
      <alignment horizontal="center" shrinkToFit="0" vertical="center" wrapText="1"/>
    </xf>
    <xf borderId="18" fillId="11" fontId="4" numFmtId="0" xfId="0" applyAlignment="1" applyBorder="1" applyFont="1">
      <alignment horizontal="center" shrinkToFit="0" vertical="center" wrapText="1"/>
    </xf>
    <xf borderId="2" fillId="14" fontId="2" numFmtId="0" xfId="0" applyAlignment="1" applyBorder="1" applyFill="1" applyFont="1">
      <alignment horizontal="center" readingOrder="0" shrinkToFit="0" vertical="center" wrapText="1"/>
    </xf>
    <xf borderId="1" fillId="14" fontId="1" numFmtId="0" xfId="0" applyAlignment="1" applyBorder="1" applyFont="1">
      <alignment horizontal="left" readingOrder="0" shrinkToFit="0" vertical="center" wrapText="1"/>
    </xf>
    <xf borderId="4" fillId="14" fontId="2" numFmtId="0" xfId="0" applyAlignment="1" applyBorder="1" applyFont="1">
      <alignment horizontal="center" readingOrder="0" shrinkToFit="0" vertical="center" wrapText="1"/>
    </xf>
    <xf borderId="0" fillId="14" fontId="4" numFmtId="0" xfId="0" applyAlignment="1" applyFont="1">
      <alignment horizontal="center" shrinkToFit="0" vertical="center" wrapText="1"/>
    </xf>
    <xf borderId="18" fillId="14" fontId="4" numFmtId="0" xfId="0" applyAlignment="1" applyBorder="1" applyFont="1">
      <alignment horizontal="center" shrinkToFit="0" vertical="center" wrapText="1"/>
    </xf>
    <xf borderId="4" fillId="9" fontId="2" numFmtId="0" xfId="0" applyAlignment="1" applyBorder="1" applyFont="1">
      <alignment horizontal="center" readingOrder="0" shrinkToFit="0" vertical="center" wrapText="1"/>
    </xf>
    <xf borderId="23" fillId="9" fontId="7" numFmtId="0" xfId="0" applyAlignment="1" applyBorder="1" applyFont="1">
      <alignment horizontal="center" shrinkToFit="0" vertical="center" wrapText="0"/>
    </xf>
    <xf borderId="1" fillId="0" fontId="3" numFmtId="49" xfId="0" applyAlignment="1" applyBorder="1" applyFont="1" applyNumberFormat="1">
      <alignment horizontal="center" readingOrder="0" shrinkToFit="0" vertical="center" wrapText="1"/>
    </xf>
    <xf borderId="24" fillId="9" fontId="7" numFmtId="0" xfId="0" applyAlignment="1" applyBorder="1" applyFont="1">
      <alignment horizontal="center" shrinkToFit="0" vertical="center" wrapText="0"/>
    </xf>
    <xf borderId="1" fillId="4" fontId="4" numFmtId="0" xfId="0" applyAlignment="1" applyBorder="1" applyFont="1">
      <alignment readingOrder="0" shrinkToFit="0" vertical="center" wrapText="1"/>
    </xf>
    <xf borderId="4" fillId="4" fontId="7" numFmtId="0" xfId="0" applyAlignment="1" applyBorder="1" applyFont="1">
      <alignment horizontal="center" shrinkToFit="0" vertical="center" wrapText="0"/>
    </xf>
    <xf borderId="18" fillId="4" fontId="4" numFmtId="0" xfId="0" applyAlignment="1" applyBorder="1" applyFont="1">
      <alignment horizontal="center" shrinkToFit="0" vertical="center" wrapText="1"/>
    </xf>
    <xf borderId="4" fillId="13" fontId="2" numFmtId="0" xfId="0" applyAlignment="1" applyBorder="1" applyFont="1">
      <alignment horizontal="center" readingOrder="0" shrinkToFit="0" vertical="center" wrapText="1"/>
    </xf>
    <xf borderId="4" fillId="13" fontId="7" numFmtId="0" xfId="0" applyAlignment="1" applyBorder="1" applyFont="1">
      <alignment horizontal="center" shrinkToFit="0" vertical="center" wrapText="0"/>
    </xf>
    <xf borderId="18" fillId="13" fontId="4" numFmtId="0" xfId="0" applyAlignment="1" applyBorder="1" applyFont="1">
      <alignment horizontal="center" shrinkToFit="0" vertical="center" wrapText="1"/>
    </xf>
    <xf borderId="4" fillId="12" fontId="2" numFmtId="0" xfId="0" applyAlignment="1" applyBorder="1" applyFont="1">
      <alignment horizontal="center" readingOrder="0" shrinkToFit="0" vertical="center" wrapText="1"/>
    </xf>
    <xf borderId="4" fillId="12" fontId="7" numFmtId="0" xfId="0" applyAlignment="1" applyBorder="1" applyFont="1">
      <alignment horizontal="center" shrinkToFit="0" vertical="center" wrapText="0"/>
    </xf>
    <xf borderId="1" fillId="8" fontId="4" numFmtId="0" xfId="0" applyAlignment="1" applyBorder="1" applyFont="1">
      <alignment readingOrder="0" shrinkToFit="0" vertical="center" wrapText="1"/>
    </xf>
    <xf borderId="4" fillId="8" fontId="7" numFmtId="0" xfId="0" applyAlignment="1" applyBorder="1" applyFont="1">
      <alignment horizontal="center" shrinkToFit="0" vertical="center" wrapText="0"/>
    </xf>
    <xf borderId="1" fillId="3" fontId="4" numFmtId="0" xfId="0" applyAlignment="1" applyBorder="1" applyFont="1">
      <alignment readingOrder="0" shrinkToFit="0" vertical="center" wrapText="1"/>
    </xf>
    <xf borderId="4" fillId="3" fontId="2" numFmtId="0" xfId="0" applyAlignment="1" applyBorder="1" applyFont="1">
      <alignment horizontal="center" readingOrder="0" shrinkToFit="0" vertical="center" wrapText="1"/>
    </xf>
    <xf borderId="4" fillId="3" fontId="4" numFmtId="0" xfId="0" applyAlignment="1" applyBorder="1" applyFont="1">
      <alignment horizontal="center" shrinkToFit="0" vertical="center" wrapText="1"/>
    </xf>
    <xf borderId="4" fillId="3" fontId="7" numFmtId="0" xfId="0" applyAlignment="1" applyBorder="1" applyFont="1">
      <alignment horizontal="center" shrinkToFit="0" vertical="center" wrapText="0"/>
    </xf>
    <xf borderId="2" fillId="3" fontId="4" numFmtId="0" xfId="0" applyAlignment="1" applyBorder="1" applyFont="1">
      <alignment readingOrder="0" shrinkToFit="0" vertical="center" wrapText="1"/>
    </xf>
    <xf borderId="2" fillId="6" fontId="1" numFmtId="0" xfId="0" applyAlignment="1" applyBorder="1" applyFont="1">
      <alignment horizontal="center" readingOrder="0" shrinkToFit="0" vertical="center" wrapText="0"/>
    </xf>
    <xf borderId="10" fillId="10" fontId="2" numFmtId="0" xfId="0" applyAlignment="1" applyBorder="1" applyFont="1">
      <alignment horizontal="center" readingOrder="0" shrinkToFit="0" vertical="center" wrapText="1"/>
    </xf>
    <xf borderId="11" fillId="0" fontId="1" numFmtId="0" xfId="0" applyAlignment="1" applyBorder="1" applyFont="1">
      <alignment horizontal="center" readingOrder="0" shrinkToFit="0" vertical="center" wrapText="1"/>
    </xf>
    <xf borderId="11" fillId="10" fontId="1" numFmtId="0" xfId="0" applyAlignment="1" applyBorder="1" applyFont="1">
      <alignment readingOrder="0" shrinkToFit="0" vertical="center" wrapText="1"/>
    </xf>
    <xf borderId="11" fillId="0" fontId="4" numFmtId="0" xfId="0" applyAlignment="1" applyBorder="1" applyFont="1">
      <alignment horizontal="center" readingOrder="0" shrinkToFit="0" vertical="center" wrapText="0"/>
    </xf>
    <xf borderId="11" fillId="0" fontId="4" numFmtId="0" xfId="0" applyAlignment="1" applyBorder="1" applyFont="1">
      <alignment horizontal="center" shrinkToFit="0" vertical="center" wrapText="1"/>
    </xf>
    <xf borderId="3" fillId="7" fontId="1" numFmtId="0" xfId="0" applyAlignment="1" applyBorder="1" applyFont="1">
      <alignment readingOrder="0" shrinkToFit="0" vertical="center" wrapText="1"/>
    </xf>
    <xf borderId="12" fillId="7" fontId="4" numFmtId="0" xfId="0" applyAlignment="1" applyBorder="1" applyFont="1">
      <alignment horizontal="center" shrinkToFit="0" vertical="center" wrapText="1"/>
    </xf>
    <xf borderId="6" fillId="11" fontId="2" numFmtId="0" xfId="0" applyAlignment="1" applyBorder="1" applyFont="1">
      <alignment horizontal="center" readingOrder="0" shrinkToFit="0" vertical="center" wrapText="1"/>
    </xf>
    <xf borderId="2" fillId="15" fontId="2" numFmtId="0" xfId="0" applyAlignment="1" applyBorder="1" applyFill="1" applyFont="1">
      <alignment horizontal="center" readingOrder="0" shrinkToFit="0" vertical="center" wrapText="1"/>
    </xf>
    <xf borderId="1" fillId="15" fontId="1" numFmtId="0" xfId="0" applyAlignment="1" applyBorder="1" applyFont="1">
      <alignment horizontal="left" readingOrder="0" shrinkToFit="0" vertical="center" wrapText="1"/>
    </xf>
    <xf borderId="4" fillId="15" fontId="2" numFmtId="0" xfId="0" applyAlignment="1" applyBorder="1" applyFont="1">
      <alignment horizontal="center" readingOrder="0" shrinkToFit="0" vertical="center" wrapText="1"/>
    </xf>
    <xf borderId="6" fillId="15" fontId="4" numFmtId="0" xfId="0" applyAlignment="1" applyBorder="1" applyFont="1">
      <alignment horizontal="center" shrinkToFit="0" vertical="center" wrapText="1"/>
    </xf>
    <xf borderId="1" fillId="15" fontId="1" numFmtId="0" xfId="0" applyAlignment="1" applyBorder="1" applyFont="1">
      <alignment readingOrder="0" shrinkToFit="0" vertical="center" wrapText="1"/>
    </xf>
    <xf borderId="12" fillId="11" fontId="4" numFmtId="0" xfId="0" applyAlignment="1" applyBorder="1" applyFont="1">
      <alignment horizontal="center" shrinkToFit="0" vertical="center" wrapText="1"/>
    </xf>
    <xf borderId="25" fillId="11" fontId="4" numFmtId="0" xfId="0" applyAlignment="1" applyBorder="1" applyFont="1">
      <alignment horizontal="center" shrinkToFit="0" vertical="center" wrapText="1"/>
    </xf>
    <xf borderId="4" fillId="15" fontId="4" numFmtId="0" xfId="0" applyAlignment="1" applyBorder="1" applyFont="1">
      <alignment horizontal="center" shrinkToFit="0" vertical="center" wrapText="1"/>
    </xf>
    <xf borderId="12" fillId="15" fontId="4" numFmtId="0" xfId="0" applyAlignment="1" applyBorder="1" applyFont="1">
      <alignment horizontal="center" shrinkToFit="0" vertical="center" wrapText="1"/>
    </xf>
    <xf borderId="25" fillId="15" fontId="4" numFmtId="0" xfId="0" applyAlignment="1" applyBorder="1" applyFont="1">
      <alignment horizontal="center" shrinkToFit="0" vertical="center" wrapText="1"/>
    </xf>
    <xf borderId="2" fillId="3" fontId="2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readingOrder="0" shrinkToFit="0" vertical="center" wrapText="1"/>
    </xf>
    <xf borderId="4" fillId="3" fontId="7" numFmtId="0" xfId="0" applyAlignment="1" applyBorder="1" applyFont="1">
      <alignment horizontal="center" shrinkToFit="0" vertical="center" wrapText="0"/>
    </xf>
    <xf borderId="6" fillId="12" fontId="7" numFmtId="0" xfId="0" applyAlignment="1" applyBorder="1" applyFont="1">
      <alignment horizontal="center" shrinkToFit="0" vertical="center" wrapText="0"/>
    </xf>
    <xf borderId="26" fillId="8" fontId="2" numFmtId="0" xfId="0" applyAlignment="1" applyBorder="1" applyFont="1">
      <alignment horizontal="center" readingOrder="0" shrinkToFit="0" vertical="center" wrapText="1"/>
    </xf>
    <xf borderId="27" fillId="8" fontId="7" numFmtId="0" xfId="0" applyAlignment="1" applyBorder="1" applyFont="1">
      <alignment horizontal="center" shrinkToFit="0" vertical="center" wrapText="0"/>
    </xf>
    <xf borderId="28" fillId="8" fontId="7" numFmtId="0" xfId="0" applyAlignment="1" applyBorder="1" applyFont="1">
      <alignment horizontal="center" shrinkToFit="0" vertical="center" wrapText="0"/>
    </xf>
    <xf borderId="29" fillId="8" fontId="2" numFmtId="0" xfId="0" applyAlignment="1" applyBorder="1" applyFont="1">
      <alignment horizontal="center" readingOrder="0" shrinkToFit="0" vertical="center" wrapText="1"/>
    </xf>
    <xf borderId="30" fillId="8" fontId="7" numFmtId="0" xfId="0" applyAlignment="1" applyBorder="1" applyFont="1">
      <alignment horizontal="center" shrinkToFit="0" vertical="center" wrapText="0"/>
    </xf>
    <xf borderId="31" fillId="8" fontId="7" numFmtId="0" xfId="0" applyAlignment="1" applyBorder="1" applyFont="1">
      <alignment horizontal="center" shrinkToFit="0" vertical="center" wrapText="0"/>
    </xf>
    <xf borderId="1" fillId="6" fontId="1" numFmtId="0" xfId="0" applyAlignment="1" applyBorder="1" applyFont="1">
      <alignment horizontal="center" readingOrder="0" shrinkToFit="0" vertical="center" wrapText="1"/>
    </xf>
    <xf borderId="2" fillId="4" fontId="4" numFmtId="0" xfId="0" applyAlignment="1" applyBorder="1" applyFont="1">
      <alignment horizontal="center" shrinkToFit="0" vertical="center" wrapText="1"/>
    </xf>
    <xf borderId="32" fillId="10" fontId="2" numFmtId="0" xfId="0" applyAlignment="1" applyBorder="1" applyFont="1">
      <alignment horizontal="center" shrinkToFit="0" vertical="center" wrapText="1"/>
    </xf>
    <xf borderId="33" fillId="10" fontId="7" numFmtId="0" xfId="0" applyAlignment="1" applyBorder="1" applyFont="1">
      <alignment horizontal="center" shrinkToFit="0" vertical="center" wrapText="0"/>
    </xf>
    <xf borderId="34" fillId="10" fontId="7" numFmtId="0" xfId="0" applyAlignment="1" applyBorder="1" applyFont="1">
      <alignment horizontal="center" shrinkToFit="0" vertical="center" wrapText="0"/>
    </xf>
    <xf borderId="35" fillId="13" fontId="2" numFmtId="0" xfId="0" applyAlignment="1" applyBorder="1" applyFont="1">
      <alignment horizontal="center" shrinkToFit="0" vertical="center" wrapText="1"/>
    </xf>
    <xf borderId="36" fillId="13" fontId="7" numFmtId="0" xfId="0" applyAlignment="1" applyBorder="1" applyFont="1">
      <alignment horizontal="center" shrinkToFit="0" vertical="center" wrapText="0"/>
    </xf>
    <xf borderId="37" fillId="13" fontId="7" numFmtId="0" xfId="0" applyAlignment="1" applyBorder="1" applyFont="1">
      <alignment horizontal="center" shrinkToFit="0" vertical="center" wrapText="0"/>
    </xf>
    <xf borderId="1" fillId="5" fontId="1" numFmtId="0" xfId="0" applyAlignment="1" applyBorder="1" applyFont="1">
      <alignment horizontal="center" readingOrder="0" shrinkToFit="0" vertical="center" wrapText="1"/>
    </xf>
    <xf borderId="2" fillId="16" fontId="2" numFmtId="0" xfId="0" applyAlignment="1" applyBorder="1" applyFill="1" applyFont="1">
      <alignment horizontal="center" readingOrder="0" shrinkToFit="0" vertical="center" wrapText="1"/>
    </xf>
    <xf borderId="4" fillId="16" fontId="2" numFmtId="0" xfId="0" applyAlignment="1" applyBorder="1" applyFont="1">
      <alignment horizontal="center" readingOrder="0" shrinkToFit="0" vertical="center" wrapText="1"/>
    </xf>
    <xf borderId="4" fillId="16" fontId="7" numFmtId="0" xfId="0" applyAlignment="1" applyBorder="1" applyFont="1">
      <alignment horizontal="center" shrinkToFit="0" vertical="center" wrapText="0"/>
    </xf>
    <xf borderId="1" fillId="16" fontId="1" numFmtId="0" xfId="0" applyAlignment="1" applyBorder="1" applyFont="1">
      <alignment readingOrder="0" shrinkToFit="0" vertical="center" wrapText="1"/>
    </xf>
    <xf borderId="4" fillId="16" fontId="7" numFmtId="0" xfId="0" applyAlignment="1" applyBorder="1" applyFont="1">
      <alignment horizontal="center" shrinkToFit="0" vertical="center" wrapText="0"/>
    </xf>
    <xf borderId="2" fillId="4" fontId="2" numFmtId="0" xfId="0" applyAlignment="1" applyBorder="1" applyFont="1">
      <alignment horizontal="center" shrinkToFit="0" vertical="center" wrapText="1"/>
    </xf>
    <xf borderId="4" fillId="4" fontId="2" numFmtId="0" xfId="0" applyAlignment="1" applyBorder="1" applyFont="1">
      <alignment horizontal="center" shrinkToFit="0" vertical="center" wrapText="1"/>
    </xf>
    <xf borderId="2" fillId="16" fontId="2" numFmtId="0" xfId="0" applyAlignment="1" applyBorder="1" applyFont="1">
      <alignment horizontal="center" shrinkToFit="0" vertical="center" wrapText="1"/>
    </xf>
    <xf borderId="1" fillId="16" fontId="1" numFmtId="0" xfId="0" applyAlignment="1" applyBorder="1" applyFont="1">
      <alignment shrinkToFit="0" vertical="center" wrapText="1"/>
    </xf>
    <xf borderId="4" fillId="16" fontId="2" numFmtId="0" xfId="0" applyAlignment="1" applyBorder="1" applyFont="1">
      <alignment horizontal="center" shrinkToFit="0" vertical="center" wrapText="1"/>
    </xf>
    <xf borderId="4" fillId="12" fontId="7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0"/>
    </xf>
    <xf borderId="6" fillId="12" fontId="7" numFmtId="0" xfId="0" applyAlignment="1" applyBorder="1" applyFont="1">
      <alignment shrinkToFit="0" vertical="center" wrapText="0"/>
    </xf>
    <xf borderId="4" fillId="7" fontId="2" numFmtId="0" xfId="0" applyAlignment="1" applyBorder="1" applyFont="1">
      <alignment horizontal="center" shrinkToFit="0" vertical="center" wrapText="1"/>
    </xf>
    <xf borderId="1" fillId="6" fontId="1" numFmtId="164" xfId="0" applyAlignment="1" applyBorder="1" applyFont="1" applyNumberFormat="1">
      <alignment horizontal="center" shrinkToFit="0" vertical="center" wrapText="1"/>
    </xf>
    <xf borderId="1" fillId="6" fontId="9" numFmtId="49" xfId="0" applyAlignment="1" applyBorder="1" applyFont="1" applyNumberFormat="1">
      <alignment horizontal="center" shrinkToFit="0" vertical="center" wrapText="1"/>
    </xf>
    <xf borderId="4" fillId="7" fontId="2" numFmtId="0" xfId="0" applyAlignment="1" applyBorder="1" applyFont="1">
      <alignment horizontal="center" readingOrder="0" shrinkToFit="0" vertical="center" wrapText="1"/>
    </xf>
    <xf borderId="4" fillId="7" fontId="7" numFmtId="0" xfId="0" applyAlignment="1" applyBorder="1" applyFont="1">
      <alignment horizontal="center" shrinkToFit="0" vertical="center" wrapText="0"/>
    </xf>
    <xf borderId="6" fillId="7" fontId="7" numFmtId="0" xfId="0" applyAlignment="1" applyBorder="1" applyFont="1">
      <alignment horizontal="center" shrinkToFit="0" vertical="center" wrapText="0"/>
    </xf>
    <xf borderId="1" fillId="4" fontId="1" numFmtId="0" xfId="0" applyAlignment="1" applyBorder="1" applyFont="1">
      <alignment shrinkToFit="0" vertical="center" wrapText="1"/>
    </xf>
    <xf borderId="4" fillId="4" fontId="6" numFmtId="0" xfId="0" applyAlignment="1" applyBorder="1" applyFont="1">
      <alignment horizontal="center" readingOrder="0" shrinkToFit="0" vertical="center" wrapText="0"/>
    </xf>
    <xf borderId="1" fillId="16" fontId="1" numFmtId="0" xfId="0" applyAlignment="1" applyBorder="1" applyFont="1">
      <alignment shrinkToFit="0" vertical="center" wrapText="1"/>
    </xf>
    <xf borderId="4" fillId="16" fontId="7" numFmtId="0" xfId="0" applyAlignment="1" applyBorder="1" applyFont="1">
      <alignment shrinkToFit="0" vertical="center" wrapText="0"/>
    </xf>
    <xf borderId="4" fillId="4" fontId="7" numFmtId="0" xfId="0" applyAlignment="1" applyBorder="1" applyFont="1">
      <alignment shrinkToFit="0" vertical="center" wrapText="0"/>
    </xf>
    <xf borderId="2" fillId="7" fontId="2" numFmtId="0" xfId="0" applyAlignment="1" applyBorder="1" applyFont="1">
      <alignment horizontal="center" shrinkToFit="0" vertical="center" wrapText="1"/>
    </xf>
    <xf borderId="2" fillId="5" fontId="1" numFmtId="0" xfId="0" applyAlignment="1" applyBorder="1" applyFont="1">
      <alignment horizontal="center" shrinkToFit="0" vertical="center" wrapText="1"/>
    </xf>
    <xf borderId="2" fillId="7" fontId="1" numFmtId="0" xfId="0" applyAlignment="1" applyBorder="1" applyFont="1">
      <alignment readingOrder="0" shrinkToFit="0" vertical="center" wrapText="1"/>
    </xf>
    <xf borderId="2" fillId="5" fontId="1" numFmtId="0" xfId="0" applyAlignment="1" applyBorder="1" applyFont="1">
      <alignment horizontal="center" readingOrder="0" shrinkToFit="0" vertical="center" wrapText="0"/>
    </xf>
    <xf borderId="2" fillId="5" fontId="1" numFmtId="164" xfId="0" applyAlignment="1" applyBorder="1" applyFont="1" applyNumberFormat="1">
      <alignment horizontal="center" shrinkToFit="0" vertical="center" wrapText="0"/>
    </xf>
    <xf borderId="2" fillId="5" fontId="1" numFmtId="0" xfId="0" applyAlignment="1" applyBorder="1" applyFont="1">
      <alignment horizontal="center" shrinkToFit="0" vertical="center" wrapText="0"/>
    </xf>
    <xf borderId="10" fillId="9" fontId="2" numFmtId="0" xfId="0" applyAlignment="1" applyBorder="1" applyFont="1">
      <alignment horizontal="center" readingOrder="0" shrinkToFit="0" vertical="center" wrapText="1"/>
    </xf>
    <xf borderId="38" fillId="5" fontId="1" numFmtId="0" xfId="0" applyAlignment="1" applyBorder="1" applyFont="1">
      <alignment horizontal="center" shrinkToFit="0" vertical="center" wrapText="1"/>
    </xf>
    <xf borderId="11" fillId="9" fontId="1" numFmtId="0" xfId="0" applyAlignment="1" applyBorder="1" applyFont="1">
      <alignment readingOrder="0" shrinkToFit="0" vertical="center" wrapText="1"/>
    </xf>
    <xf borderId="11" fillId="5" fontId="1" numFmtId="0" xfId="0" applyAlignment="1" applyBorder="1" applyFont="1">
      <alignment horizontal="center" shrinkToFit="0" vertical="center" wrapText="0"/>
    </xf>
    <xf borderId="11" fillId="5" fontId="1" numFmtId="164" xfId="0" applyAlignment="1" applyBorder="1" applyFont="1" applyNumberFormat="1">
      <alignment horizontal="center" shrinkToFit="0" vertical="center" wrapText="0"/>
    </xf>
    <xf borderId="11" fillId="5" fontId="1" numFmtId="0" xfId="0" applyAlignment="1" applyBorder="1" applyFont="1">
      <alignment horizontal="center" shrinkToFit="0" vertical="center" wrapText="1"/>
    </xf>
    <xf borderId="13" fillId="5" fontId="1" numFmtId="0" xfId="0" applyAlignment="1" applyBorder="1" applyFont="1">
      <alignment horizontal="center" shrinkToFit="0" vertical="center" wrapText="1"/>
    </xf>
    <xf borderId="2" fillId="17" fontId="2" numFmtId="0" xfId="0" applyAlignment="1" applyBorder="1" applyFill="1" applyFont="1">
      <alignment horizontal="center" readingOrder="0" shrinkToFit="0" vertical="center" wrapText="1"/>
    </xf>
    <xf borderId="6" fillId="17" fontId="1" numFmtId="0" xfId="0" applyAlignment="1" applyBorder="1" applyFont="1">
      <alignment readingOrder="0" shrinkToFit="0" vertical="center" wrapText="1"/>
    </xf>
    <xf borderId="6" fillId="5" fontId="1" numFmtId="0" xfId="0" applyAlignment="1" applyBorder="1" applyFont="1">
      <alignment horizontal="center" shrinkToFit="0" vertical="center" wrapText="0"/>
    </xf>
    <xf borderId="6" fillId="5" fontId="1" numFmtId="164" xfId="0" applyAlignment="1" applyBorder="1" applyFont="1" applyNumberFormat="1">
      <alignment horizontal="center" shrinkToFit="0" vertical="center" wrapText="0"/>
    </xf>
    <xf borderId="6" fillId="5" fontId="1" numFmtId="0" xfId="0" applyAlignment="1" applyBorder="1" applyFont="1">
      <alignment horizontal="center" shrinkToFit="0" vertical="center" wrapText="1"/>
    </xf>
    <xf borderId="4" fillId="17" fontId="2" numFmtId="0" xfId="0" applyAlignment="1" applyBorder="1" applyFont="1">
      <alignment horizontal="center" readingOrder="0" shrinkToFit="0" vertical="center" wrapText="1"/>
    </xf>
    <xf borderId="1" fillId="17" fontId="1" numFmtId="0" xfId="0" applyAlignment="1" applyBorder="1" applyFont="1">
      <alignment readingOrder="0" shrinkToFit="0" vertical="center" wrapText="1"/>
    </xf>
    <xf borderId="4" fillId="17" fontId="7" numFmtId="0" xfId="0" applyAlignment="1" applyBorder="1" applyFont="1">
      <alignment horizontal="center" shrinkToFit="0" vertical="center" wrapText="0"/>
    </xf>
    <xf borderId="6" fillId="9" fontId="1" numFmtId="0" xfId="0" applyAlignment="1" applyBorder="1" applyFont="1">
      <alignment readingOrder="0" shrinkToFit="0" vertical="center" wrapText="1"/>
    </xf>
    <xf borderId="2" fillId="17" fontId="2" numFmtId="0" xfId="0" applyAlignment="1" applyBorder="1" applyFont="1">
      <alignment horizontal="center" shrinkToFit="0" vertical="center" wrapText="1"/>
    </xf>
    <xf borderId="39" fillId="17" fontId="1" numFmtId="0" xfId="0" applyAlignment="1" applyBorder="1" applyFont="1">
      <alignment readingOrder="0" shrinkToFit="0" vertical="center" wrapText="1"/>
    </xf>
    <xf borderId="15" fillId="6" fontId="1" numFmtId="0" xfId="0" applyAlignment="1" applyBorder="1" applyFont="1">
      <alignment horizontal="center" shrinkToFit="0" vertical="center" wrapText="0"/>
    </xf>
    <xf borderId="15" fillId="6" fontId="1" numFmtId="49" xfId="0" applyAlignment="1" applyBorder="1" applyFont="1" applyNumberFormat="1">
      <alignment horizontal="center" shrinkToFit="0" vertical="center" wrapText="1"/>
    </xf>
    <xf borderId="4" fillId="17" fontId="7" numFmtId="0" xfId="0" applyAlignment="1" applyBorder="1" applyFont="1">
      <alignment shrinkToFit="0" vertical="center" wrapText="0"/>
    </xf>
    <xf borderId="6" fillId="17" fontId="7" numFmtId="0" xfId="0" applyAlignment="1" applyBorder="1" applyFont="1">
      <alignment shrinkToFit="0" vertical="center" wrapText="0"/>
    </xf>
    <xf borderId="4" fillId="8" fontId="7" numFmtId="0" xfId="0" applyAlignment="1" applyBorder="1" applyFont="1">
      <alignment shrinkToFit="0" vertical="center" wrapText="0"/>
    </xf>
    <xf borderId="1" fillId="18" fontId="1" numFmtId="0" xfId="0" applyAlignment="1" applyBorder="1" applyFill="1" applyFont="1">
      <alignment readingOrder="0" shrinkToFit="0" vertical="center" wrapText="1"/>
    </xf>
    <xf borderId="40" fillId="12" fontId="1" numFmtId="0" xfId="0" applyAlignment="1" applyBorder="1" applyFont="1">
      <alignment readingOrder="0" shrinkToFit="0" vertical="center" wrapText="0"/>
    </xf>
    <xf borderId="1" fillId="19" fontId="1" numFmtId="0" xfId="0" applyAlignment="1" applyBorder="1" applyFill="1" applyFont="1">
      <alignment readingOrder="0" shrinkToFit="0" vertical="center" wrapText="1"/>
    </xf>
    <xf borderId="40" fillId="19" fontId="1" numFmtId="0" xfId="0" applyAlignment="1" applyBorder="1" applyFont="1">
      <alignment readingOrder="0" shrinkToFit="0" vertical="center" wrapText="0"/>
    </xf>
    <xf borderId="41" fillId="5" fontId="1" numFmtId="0" xfId="0" applyAlignment="1" applyBorder="1" applyFont="1">
      <alignment horizontal="center" shrinkToFit="0" vertical="center" wrapText="1"/>
    </xf>
    <xf borderId="4" fillId="7" fontId="8" numFmtId="0" xfId="0" applyAlignment="1" applyBorder="1" applyFont="1">
      <alignment horizontal="center" readingOrder="0" shrinkToFit="0" vertical="center" wrapText="1"/>
    </xf>
    <xf borderId="4" fillId="7" fontId="4" numFmtId="0" xfId="0" applyAlignment="1" applyBorder="1" applyFont="1">
      <alignment horizontal="center" shrinkToFit="0" vertical="center" wrapText="1"/>
    </xf>
    <xf borderId="1" fillId="20" fontId="1" numFmtId="0" xfId="0" applyAlignment="1" applyBorder="1" applyFill="1" applyFont="1">
      <alignment readingOrder="0" shrinkToFit="0" vertical="center" wrapText="1"/>
    </xf>
    <xf borderId="6" fillId="3" fontId="4" numFmtId="0" xfId="0" applyAlignment="1" applyBorder="1" applyFont="1">
      <alignment horizontal="center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0"/>
    </xf>
    <xf borderId="1" fillId="0" fontId="1" numFmtId="49" xfId="0" applyAlignment="1" applyBorder="1" applyFont="1" applyNumberFormat="1">
      <alignment horizontal="center" shrinkToFit="0" vertical="center" wrapText="1"/>
    </xf>
    <xf borderId="4" fillId="7" fontId="7" numFmtId="0" xfId="0" applyAlignment="1" applyBorder="1" applyFont="1">
      <alignment shrinkToFit="0" vertical="center" wrapText="0"/>
    </xf>
    <xf borderId="6" fillId="7" fontId="4" numFmtId="0" xfId="0" applyAlignment="1" applyBorder="1" applyFont="1">
      <alignment horizontal="center" shrinkToFit="0" vertical="center" wrapText="1"/>
    </xf>
    <xf borderId="5" fillId="5" fontId="5" numFmtId="164" xfId="0" applyAlignment="1" applyBorder="1" applyFont="1" applyNumberFormat="1">
      <alignment horizontal="center" shrinkToFit="0" vertical="center" wrapText="0"/>
    </xf>
    <xf borderId="1" fillId="5" fontId="5" numFmtId="49" xfId="0" applyAlignment="1" applyBorder="1" applyFont="1" applyNumberFormat="1">
      <alignment horizontal="center" shrinkToFit="0" vertical="center" wrapText="1"/>
    </xf>
    <xf borderId="4" fillId="9" fontId="7" numFmtId="0" xfId="0" applyAlignment="1" applyBorder="1" applyFont="1">
      <alignment shrinkToFit="0" vertical="center" wrapText="0"/>
    </xf>
    <xf borderId="6" fillId="9" fontId="7" numFmtId="0" xfId="0" applyAlignment="1" applyBorder="1" applyFont="1">
      <alignment shrinkToFit="0" vertical="center" wrapText="0"/>
    </xf>
    <xf borderId="0" fillId="4" fontId="4" numFmtId="0" xfId="0" applyAlignment="1" applyFont="1">
      <alignment shrinkToFit="0" vertical="center" wrapText="1"/>
    </xf>
    <xf borderId="4" fillId="4" fontId="4" numFmtId="0" xfId="0" applyAlignment="1" applyBorder="1" applyFont="1">
      <alignment shrinkToFit="0" vertical="center" wrapText="1"/>
    </xf>
    <xf borderId="6" fillId="4" fontId="4" numFmtId="0" xfId="0" applyAlignment="1" applyBorder="1" applyFont="1">
      <alignment shrinkToFit="0" vertical="center" wrapText="1"/>
    </xf>
    <xf borderId="0" fillId="7" fontId="4" numFmtId="0" xfId="0" applyAlignment="1" applyFont="1">
      <alignment shrinkToFit="0" vertical="center" wrapText="1"/>
    </xf>
    <xf borderId="0" fillId="10" fontId="4" numFmtId="0" xfId="0" applyAlignment="1" applyFont="1">
      <alignment readingOrder="0" shrinkToFit="0" vertical="center" wrapText="1"/>
    </xf>
    <xf borderId="0" fillId="12" fontId="4" numFmtId="0" xfId="0" applyAlignment="1" applyFont="1">
      <alignment shrinkToFit="0" vertical="center" wrapText="1"/>
    </xf>
    <xf borderId="18" fillId="12" fontId="4" numFmtId="0" xfId="0" applyAlignment="1" applyBorder="1" applyFont="1">
      <alignment shrinkToFit="0" vertical="center" wrapText="1"/>
    </xf>
    <xf borderId="0" fillId="9" fontId="4" numFmtId="0" xfId="0" applyAlignment="1" applyFont="1">
      <alignment shrinkToFit="0" vertical="center" wrapText="1"/>
    </xf>
    <xf borderId="0" fillId="8" fontId="4" numFmtId="0" xfId="0" applyAlignment="1" applyFont="1">
      <alignment shrinkToFit="0" vertical="center" wrapText="1"/>
    </xf>
    <xf borderId="6" fillId="8" fontId="4" numFmtId="0" xfId="0" applyAlignment="1" applyBorder="1" applyFont="1">
      <alignment shrinkToFit="0" vertical="center" wrapText="1"/>
    </xf>
    <xf borderId="4" fillId="13" fontId="4" numFmtId="0" xfId="0" applyAlignment="1" applyBorder="1" applyFont="1">
      <alignment shrinkToFit="0" vertical="center" wrapText="1"/>
    </xf>
    <xf borderId="4" fillId="13" fontId="8" numFmtId="0" xfId="0" applyAlignment="1" applyBorder="1" applyFont="1">
      <alignment shrinkToFit="0" vertical="center" wrapText="1"/>
    </xf>
    <xf borderId="0" fillId="12" fontId="6" numFmtId="0" xfId="0" applyAlignment="1" applyFont="1">
      <alignment shrinkToFit="0" vertical="center" wrapText="0"/>
    </xf>
    <xf borderId="19" fillId="9" fontId="6" numFmtId="0" xfId="0" applyAlignment="1" applyBorder="1" applyFont="1">
      <alignment shrinkToFit="0" vertical="center" wrapText="0"/>
    </xf>
    <xf borderId="0" fillId="9" fontId="6" numFmtId="0" xfId="0" applyAlignment="1" applyFont="1">
      <alignment shrinkToFit="0" vertical="center" wrapText="0"/>
    </xf>
    <xf borderId="19" fillId="13" fontId="6" numFmtId="0" xfId="0" applyAlignment="1" applyBorder="1" applyFont="1">
      <alignment shrinkToFit="0" vertical="center" wrapText="0"/>
    </xf>
    <xf borderId="0" fillId="13" fontId="6" numFmtId="0" xfId="0" applyAlignment="1" applyFont="1">
      <alignment shrinkToFit="0" vertical="center" wrapText="0"/>
    </xf>
    <xf borderId="4" fillId="12" fontId="4" numFmtId="0" xfId="0" applyAlignment="1" applyBorder="1" applyFont="1">
      <alignment shrinkToFit="0" vertical="center" wrapText="1"/>
    </xf>
    <xf borderId="6" fillId="12" fontId="4" numFmtId="0" xfId="0" applyAlignment="1" applyBorder="1" applyFont="1">
      <alignment shrinkToFit="0" vertical="center" wrapText="1"/>
    </xf>
    <xf borderId="4" fillId="9" fontId="4" numFmtId="0" xfId="0" applyAlignment="1" applyBorder="1" applyFont="1">
      <alignment shrinkToFit="0" vertical="center" wrapText="1"/>
    </xf>
    <xf borderId="18" fillId="9" fontId="4" numFmtId="0" xfId="0" applyAlignment="1" applyBorder="1" applyFont="1">
      <alignment shrinkToFit="0" vertical="center" wrapText="1"/>
    </xf>
    <xf borderId="0" fillId="13" fontId="4" numFmtId="0" xfId="0" applyAlignment="1" applyFont="1">
      <alignment shrinkToFit="0" vertical="center" wrapText="1"/>
    </xf>
    <xf borderId="16" fillId="13" fontId="4" numFmtId="0" xfId="0" applyAlignment="1" applyBorder="1" applyFont="1">
      <alignment shrinkToFit="0" vertical="center" wrapText="1"/>
    </xf>
    <xf borderId="8" fillId="6" fontId="1" numFmtId="0" xfId="0" applyAlignment="1" applyBorder="1" applyFont="1">
      <alignment horizontal="center" shrinkToFit="0" vertical="center" wrapText="0"/>
    </xf>
    <xf borderId="6" fillId="13" fontId="4" numFmtId="0" xfId="0" applyAlignment="1" applyBorder="1" applyFont="1">
      <alignment shrinkToFit="0" vertical="center" wrapText="1"/>
    </xf>
    <xf borderId="4" fillId="8" fontId="4" numFmtId="0" xfId="0" applyAlignment="1" applyBorder="1" applyFont="1">
      <alignment shrinkToFit="0" vertical="center" wrapText="1"/>
    </xf>
    <xf borderId="0" fillId="8" fontId="10" numFmtId="0" xfId="0" applyAlignment="1" applyFont="1">
      <alignment shrinkToFit="0" vertical="center" wrapText="1"/>
    </xf>
    <xf borderId="13" fillId="8" fontId="10" numFmtId="0" xfId="0" applyAlignment="1" applyBorder="1" applyFont="1">
      <alignment shrinkToFit="0" vertical="center" wrapText="1"/>
    </xf>
    <xf borderId="21" fillId="8" fontId="8" numFmtId="0" xfId="0" applyAlignment="1" applyBorder="1" applyFont="1">
      <alignment readingOrder="0" shrinkToFit="0" vertical="center" wrapText="1"/>
    </xf>
    <xf borderId="21" fillId="8" fontId="10" numFmtId="0" xfId="0" applyAlignment="1" applyBorder="1" applyFont="1">
      <alignment shrinkToFit="0" vertical="center" wrapText="1"/>
    </xf>
    <xf borderId="6" fillId="8" fontId="10" numFmtId="0" xfId="0" applyAlignment="1" applyBorder="1" applyFont="1">
      <alignment shrinkToFit="0" vertical="center" wrapText="1"/>
    </xf>
    <xf borderId="3" fillId="6" fontId="5" numFmtId="0" xfId="0" applyAlignment="1" applyBorder="1" applyFont="1">
      <alignment horizontal="center" shrinkToFit="0" vertical="center" wrapText="1"/>
    </xf>
    <xf borderId="1" fillId="6" fontId="5" numFmtId="164" xfId="0" applyAlignment="1" applyBorder="1" applyFont="1" applyNumberFormat="1">
      <alignment horizontal="center" shrinkToFit="0" vertical="center" wrapText="0"/>
    </xf>
    <xf borderId="1" fillId="6" fontId="5" numFmtId="49" xfId="0" applyAlignment="1" applyBorder="1" applyFont="1" applyNumberFormat="1">
      <alignment horizontal="center" shrinkToFit="0" vertical="center" wrapText="1"/>
    </xf>
    <xf borderId="21" fillId="11" fontId="8" numFmtId="0" xfId="0" applyAlignment="1" applyBorder="1" applyFont="1">
      <alignment readingOrder="0" shrinkToFit="0" vertical="center" wrapText="1"/>
    </xf>
    <xf borderId="21" fillId="11" fontId="10" numFmtId="0" xfId="0" applyAlignment="1" applyBorder="1" applyFont="1">
      <alignment shrinkToFit="0" vertical="center" wrapText="1"/>
    </xf>
    <xf borderId="4" fillId="11" fontId="8" numFmtId="0" xfId="0" applyAlignment="1" applyBorder="1" applyFont="1">
      <alignment readingOrder="0" shrinkToFit="0" vertical="center" wrapText="1"/>
    </xf>
    <xf borderId="4" fillId="11" fontId="10" numFmtId="0" xfId="0" applyAlignment="1" applyBorder="1" applyFont="1">
      <alignment shrinkToFit="0" vertical="center" wrapText="1"/>
    </xf>
    <xf borderId="6" fillId="11" fontId="8" numFmtId="0" xfId="0" applyAlignment="1" applyBorder="1" applyFont="1">
      <alignment readingOrder="0" shrinkToFit="0" vertical="center" wrapText="1"/>
    </xf>
    <xf borderId="4" fillId="8" fontId="10" numFmtId="0" xfId="0" applyAlignment="1" applyBorder="1" applyFont="1">
      <alignment shrinkToFit="0" vertical="center" wrapText="1"/>
    </xf>
    <xf borderId="6" fillId="8" fontId="8" numFmtId="0" xfId="0" applyAlignment="1" applyBorder="1" applyFont="1">
      <alignment readingOrder="0" shrinkToFit="0" vertical="center" wrapText="1"/>
    </xf>
    <xf borderId="21" fillId="9" fontId="8" numFmtId="0" xfId="0" applyAlignment="1" applyBorder="1" applyFont="1">
      <alignment readingOrder="0" shrinkToFit="0" vertical="center" wrapText="1"/>
    </xf>
    <xf borderId="21" fillId="9" fontId="10" numFmtId="0" xfId="0" applyAlignment="1" applyBorder="1" applyFont="1">
      <alignment shrinkToFit="0" vertical="center" wrapText="1"/>
    </xf>
    <xf borderId="4" fillId="9" fontId="10" numFmtId="0" xfId="0" applyAlignment="1" applyBorder="1" applyFont="1">
      <alignment shrinkToFit="0" vertical="center" wrapText="1"/>
    </xf>
    <xf borderId="6" fillId="9" fontId="8" numFmtId="0" xfId="0" applyAlignment="1" applyBorder="1" applyFont="1">
      <alignment readingOrder="0" shrinkToFit="0" vertical="center" wrapText="1"/>
    </xf>
    <xf borderId="21" fillId="13" fontId="8" numFmtId="0" xfId="0" applyAlignment="1" applyBorder="1" applyFont="1">
      <alignment readingOrder="0" shrinkToFit="0" vertical="center" wrapText="1"/>
    </xf>
    <xf borderId="21" fillId="13" fontId="10" numFmtId="0" xfId="0" applyAlignment="1" applyBorder="1" applyFont="1">
      <alignment shrinkToFit="0" vertical="center" wrapText="1"/>
    </xf>
    <xf borderId="4" fillId="13" fontId="10" numFmtId="0" xfId="0" applyAlignment="1" applyBorder="1" applyFont="1">
      <alignment shrinkToFit="0" vertical="center" wrapText="1"/>
    </xf>
    <xf borderId="6" fillId="13" fontId="8" numFmtId="0" xfId="0" applyAlignment="1" applyBorder="1" applyFont="1">
      <alignment readingOrder="0" shrinkToFit="0" vertical="center" wrapText="1"/>
    </xf>
    <xf borderId="18" fillId="4" fontId="4" numFmtId="0" xfId="0" applyAlignment="1" applyBorder="1" applyFont="1">
      <alignment shrinkToFit="0" vertical="center" wrapText="1"/>
    </xf>
    <xf borderId="0" fillId="0" fontId="10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1155CC"/>
          <bgColor rgb="FF1155CC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1155CC"/>
        </left>
        <right style="thin">
          <color rgb="FF1155CC"/>
        </right>
        <top style="thin">
          <color rgb="FF1155CC"/>
        </top>
        <bottom style="thin">
          <color rgb="FF1155CC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2">
    <tableStyle count="4" pivot="0" name="Plan de Tare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pia de Plan de Tarea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422" displayName="Tabla" name="Tabla" id="1">
  <tableColumns count="8">
    <tableColumn name="Grupo" id="1"/>
    <tableColumn name="ID" id="2"/>
    <tableColumn name="Tarea" id="3"/>
    <tableColumn name="Duración en Dias" id="4"/>
    <tableColumn name="Comienzo" id="5"/>
    <tableColumn name="Fin" id="6"/>
    <tableColumn name="Predecesoras" id="7"/>
    <tableColumn name="Responsable" id="8"/>
  </tableColumns>
  <tableStyleInfo name="Plan de Tareas-style" showColumnStripes="0" showFirstColumn="1" showLastColumn="1" showRowStripes="1"/>
</table>
</file>

<file path=xl/tables/table2.xml><?xml version="1.0" encoding="utf-8"?>
<table xmlns="http://schemas.openxmlformats.org/spreadsheetml/2006/main" ref="A1:H448" displayName="Tabla_2" name="Tabla_2" id="2">
  <tableColumns count="8">
    <tableColumn name="Grupo" id="1"/>
    <tableColumn name="ID" id="2"/>
    <tableColumn name="Tarea" id="3"/>
    <tableColumn name="Duración en Dias" id="4"/>
    <tableColumn name="Comienzo" id="5"/>
    <tableColumn name="Fin" id="6"/>
    <tableColumn name="Predecesoras" id="7"/>
    <tableColumn name="Responsable" id="8"/>
  </tableColumns>
  <tableStyleInfo name="Copia de Plan de Tare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7.13"/>
    <col customWidth="1" min="3" max="3" width="63.75"/>
    <col customWidth="1" min="4" max="4" width="15.13"/>
    <col customWidth="1" min="5" max="5" width="17.25"/>
    <col customWidth="1" min="6" max="6" width="18.25"/>
    <col customWidth="1" min="7" max="7" width="38.63"/>
    <col customWidth="1" min="8" max="8" width="35.0"/>
  </cols>
  <sheetData>
    <row r="1" ht="18.7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ht="18.75" customHeight="1">
      <c r="A2" s="4" t="s">
        <v>8</v>
      </c>
      <c r="B2" s="5">
        <v>1.0</v>
      </c>
      <c r="C2" s="6" t="s">
        <v>9</v>
      </c>
      <c r="D2" s="7">
        <v>15.0</v>
      </c>
      <c r="E2" s="8">
        <v>45688.0</v>
      </c>
      <c r="F2" s="8">
        <f t="shared" ref="F2:F232" si="1">E2+D2</f>
        <v>45703</v>
      </c>
      <c r="G2" s="9"/>
      <c r="H2" s="7" t="s">
        <v>10</v>
      </c>
    </row>
    <row r="3" ht="18.75" customHeight="1">
      <c r="A3" s="10"/>
      <c r="B3" s="11">
        <f t="shared" ref="B3:B1422" si="2">B2+1</f>
        <v>2</v>
      </c>
      <c r="C3" s="12" t="s">
        <v>11</v>
      </c>
      <c r="D3" s="7">
        <v>4.0</v>
      </c>
      <c r="E3" s="8">
        <f>F2</f>
        <v>45703</v>
      </c>
      <c r="F3" s="8">
        <f t="shared" si="1"/>
        <v>45707</v>
      </c>
      <c r="G3" s="9" t="s">
        <v>12</v>
      </c>
      <c r="H3" s="7" t="s">
        <v>10</v>
      </c>
    </row>
    <row r="4" ht="18.75" customHeight="1">
      <c r="A4" s="13"/>
      <c r="B4" s="11">
        <f t="shared" si="2"/>
        <v>3</v>
      </c>
      <c r="C4" s="14" t="s">
        <v>13</v>
      </c>
      <c r="D4" s="7">
        <v>4.0</v>
      </c>
      <c r="E4" s="8">
        <f>F2</f>
        <v>45703</v>
      </c>
      <c r="F4" s="8">
        <f t="shared" si="1"/>
        <v>45707</v>
      </c>
      <c r="G4" s="9" t="s">
        <v>12</v>
      </c>
      <c r="H4" s="7" t="s">
        <v>10</v>
      </c>
    </row>
    <row r="5" ht="18.75" customHeight="1">
      <c r="A5" s="10"/>
      <c r="B5" s="11">
        <f t="shared" si="2"/>
        <v>4</v>
      </c>
      <c r="C5" s="14" t="s">
        <v>14</v>
      </c>
      <c r="D5" s="7">
        <v>4.0</v>
      </c>
      <c r="E5" s="8">
        <f>F2</f>
        <v>45703</v>
      </c>
      <c r="F5" s="8">
        <f t="shared" si="1"/>
        <v>45707</v>
      </c>
      <c r="G5" s="9" t="s">
        <v>12</v>
      </c>
      <c r="H5" s="7" t="s">
        <v>10</v>
      </c>
    </row>
    <row r="6" ht="18.75" customHeight="1">
      <c r="A6" s="13"/>
      <c r="B6" s="11">
        <f t="shared" si="2"/>
        <v>5</v>
      </c>
      <c r="C6" s="14" t="s">
        <v>15</v>
      </c>
      <c r="D6" s="7">
        <v>2.0</v>
      </c>
      <c r="E6" s="8">
        <f>F2</f>
        <v>45703</v>
      </c>
      <c r="F6" s="8">
        <f t="shared" si="1"/>
        <v>45705</v>
      </c>
      <c r="G6" s="9" t="s">
        <v>12</v>
      </c>
      <c r="H6" s="7" t="s">
        <v>10</v>
      </c>
    </row>
    <row r="7" ht="18.75" customHeight="1">
      <c r="A7" s="13"/>
      <c r="B7" s="11">
        <f t="shared" si="2"/>
        <v>6</v>
      </c>
      <c r="C7" s="14" t="s">
        <v>16</v>
      </c>
      <c r="D7" s="7">
        <v>7.0</v>
      </c>
      <c r="E7" s="8">
        <f>F2</f>
        <v>45703</v>
      </c>
      <c r="F7" s="8">
        <f t="shared" si="1"/>
        <v>45710</v>
      </c>
      <c r="G7" s="9" t="s">
        <v>12</v>
      </c>
      <c r="H7" s="7" t="s">
        <v>10</v>
      </c>
    </row>
    <row r="8" ht="18.75" customHeight="1">
      <c r="A8" s="13"/>
      <c r="B8" s="5">
        <f t="shared" si="2"/>
        <v>7</v>
      </c>
      <c r="C8" s="14" t="s">
        <v>17</v>
      </c>
      <c r="D8" s="7">
        <v>7.0</v>
      </c>
      <c r="E8" s="8">
        <f>F2</f>
        <v>45703</v>
      </c>
      <c r="F8" s="8">
        <f t="shared" si="1"/>
        <v>45710</v>
      </c>
      <c r="G8" s="9" t="s">
        <v>12</v>
      </c>
      <c r="H8" s="7" t="s">
        <v>10</v>
      </c>
    </row>
    <row r="9" ht="18.75" customHeight="1">
      <c r="A9" s="13"/>
      <c r="B9" s="5">
        <f t="shared" si="2"/>
        <v>8</v>
      </c>
      <c r="C9" s="14" t="s">
        <v>18</v>
      </c>
      <c r="D9" s="7">
        <v>7.0</v>
      </c>
      <c r="E9" s="8">
        <f>F2</f>
        <v>45703</v>
      </c>
      <c r="F9" s="8">
        <f t="shared" si="1"/>
        <v>45710</v>
      </c>
      <c r="G9" s="9" t="s">
        <v>12</v>
      </c>
      <c r="H9" s="7" t="s">
        <v>10</v>
      </c>
    </row>
    <row r="10" ht="18.75" customHeight="1">
      <c r="A10" s="13"/>
      <c r="B10" s="5">
        <f t="shared" si="2"/>
        <v>9</v>
      </c>
      <c r="C10" s="14" t="s">
        <v>19</v>
      </c>
      <c r="D10" s="7">
        <v>7.0</v>
      </c>
      <c r="E10" s="8">
        <f>F2</f>
        <v>45703</v>
      </c>
      <c r="F10" s="8">
        <f t="shared" si="1"/>
        <v>45710</v>
      </c>
      <c r="G10" s="9" t="s">
        <v>12</v>
      </c>
      <c r="H10" s="7" t="s">
        <v>10</v>
      </c>
    </row>
    <row r="11" ht="18.75" customHeight="1">
      <c r="A11" s="15" t="s">
        <v>20</v>
      </c>
      <c r="B11" s="5">
        <f t="shared" si="2"/>
        <v>10</v>
      </c>
      <c r="C11" s="16" t="s">
        <v>21</v>
      </c>
      <c r="D11" s="17">
        <v>1.0</v>
      </c>
      <c r="E11" s="8">
        <f t="shared" ref="E11:E48" si="3">F10</f>
        <v>45710</v>
      </c>
      <c r="F11" s="8">
        <f t="shared" si="1"/>
        <v>45711</v>
      </c>
      <c r="G11" s="9" t="str">
        <f>B3 &amp; "-" &amp; B6 &amp; "-" &amp; B7 &amp; "-" &amp; B8 &amp; "-" &amp; B9 &amp; "-" &amp; B10</f>
        <v>2-5-6-7-8-9</v>
      </c>
      <c r="H11" s="7" t="s">
        <v>10</v>
      </c>
    </row>
    <row r="12" ht="18.75" customHeight="1">
      <c r="A12" s="18"/>
      <c r="B12" s="5">
        <f t="shared" si="2"/>
        <v>11</v>
      </c>
      <c r="C12" s="16" t="s">
        <v>22</v>
      </c>
      <c r="D12" s="7">
        <v>1.0</v>
      </c>
      <c r="E12" s="8">
        <f t="shared" si="3"/>
        <v>45711</v>
      </c>
      <c r="F12" s="8">
        <f t="shared" si="1"/>
        <v>45712</v>
      </c>
      <c r="G12" s="9">
        <f t="shared" ref="G12:G40" si="4">B11</f>
        <v>10</v>
      </c>
      <c r="H12" s="7" t="s">
        <v>23</v>
      </c>
    </row>
    <row r="13" ht="18.75" customHeight="1">
      <c r="A13" s="18"/>
      <c r="B13" s="5">
        <f t="shared" si="2"/>
        <v>12</v>
      </c>
      <c r="C13" s="16" t="s">
        <v>24</v>
      </c>
      <c r="D13" s="7">
        <v>1.0</v>
      </c>
      <c r="E13" s="8">
        <f t="shared" si="3"/>
        <v>45712</v>
      </c>
      <c r="F13" s="8">
        <f t="shared" si="1"/>
        <v>45713</v>
      </c>
      <c r="G13" s="9">
        <f t="shared" si="4"/>
        <v>11</v>
      </c>
      <c r="H13" s="7" t="s">
        <v>23</v>
      </c>
    </row>
    <row r="14" ht="18.75" customHeight="1">
      <c r="A14" s="18"/>
      <c r="B14" s="5">
        <f t="shared" si="2"/>
        <v>13</v>
      </c>
      <c r="C14" s="16" t="s">
        <v>25</v>
      </c>
      <c r="D14" s="7">
        <v>3.0</v>
      </c>
      <c r="E14" s="8">
        <f t="shared" si="3"/>
        <v>45713</v>
      </c>
      <c r="F14" s="8">
        <f t="shared" si="1"/>
        <v>45716</v>
      </c>
      <c r="G14" s="9">
        <f t="shared" si="4"/>
        <v>12</v>
      </c>
      <c r="H14" s="7" t="s">
        <v>23</v>
      </c>
    </row>
    <row r="15" ht="18.75" customHeight="1">
      <c r="A15" s="18"/>
      <c r="B15" s="5">
        <f t="shared" si="2"/>
        <v>14</v>
      </c>
      <c r="C15" s="16" t="s">
        <v>26</v>
      </c>
      <c r="D15" s="7">
        <v>1.0</v>
      </c>
      <c r="E15" s="8">
        <f t="shared" si="3"/>
        <v>45716</v>
      </c>
      <c r="F15" s="8">
        <f t="shared" si="1"/>
        <v>45717</v>
      </c>
      <c r="G15" s="9">
        <f t="shared" si="4"/>
        <v>13</v>
      </c>
      <c r="H15" s="7" t="s">
        <v>10</v>
      </c>
    </row>
    <row r="16" ht="18.75" customHeight="1">
      <c r="A16" s="18"/>
      <c r="B16" s="5">
        <f t="shared" si="2"/>
        <v>15</v>
      </c>
      <c r="C16" s="16" t="s">
        <v>27</v>
      </c>
      <c r="D16" s="7">
        <v>1.0</v>
      </c>
      <c r="E16" s="8">
        <f t="shared" si="3"/>
        <v>45717</v>
      </c>
      <c r="F16" s="8">
        <f t="shared" si="1"/>
        <v>45718</v>
      </c>
      <c r="G16" s="9">
        <f t="shared" si="4"/>
        <v>14</v>
      </c>
      <c r="H16" s="7" t="s">
        <v>23</v>
      </c>
    </row>
    <row r="17" ht="18.75" customHeight="1">
      <c r="A17" s="19"/>
      <c r="B17" s="5">
        <f t="shared" si="2"/>
        <v>16</v>
      </c>
      <c r="C17" s="16" t="s">
        <v>28</v>
      </c>
      <c r="D17" s="7">
        <v>1.0</v>
      </c>
      <c r="E17" s="8">
        <f t="shared" si="3"/>
        <v>45718</v>
      </c>
      <c r="F17" s="8">
        <f t="shared" si="1"/>
        <v>45719</v>
      </c>
      <c r="G17" s="9">
        <f t="shared" si="4"/>
        <v>15</v>
      </c>
      <c r="H17" s="7" t="s">
        <v>23</v>
      </c>
    </row>
    <row r="18" ht="18.75" customHeight="1">
      <c r="A18" s="19"/>
      <c r="B18" s="5">
        <f t="shared" si="2"/>
        <v>17</v>
      </c>
      <c r="C18" s="16" t="s">
        <v>29</v>
      </c>
      <c r="D18" s="7">
        <v>4.0</v>
      </c>
      <c r="E18" s="8">
        <f t="shared" si="3"/>
        <v>45719</v>
      </c>
      <c r="F18" s="8">
        <f t="shared" si="1"/>
        <v>45723</v>
      </c>
      <c r="G18" s="9">
        <f t="shared" si="4"/>
        <v>16</v>
      </c>
      <c r="H18" s="7" t="s">
        <v>23</v>
      </c>
    </row>
    <row r="19" ht="18.75" customHeight="1">
      <c r="A19" s="19"/>
      <c r="B19" s="5">
        <f t="shared" si="2"/>
        <v>18</v>
      </c>
      <c r="C19" s="20" t="s">
        <v>30</v>
      </c>
      <c r="D19" s="7">
        <v>1.0</v>
      </c>
      <c r="E19" s="8">
        <f t="shared" si="3"/>
        <v>45723</v>
      </c>
      <c r="F19" s="8">
        <f t="shared" si="1"/>
        <v>45724</v>
      </c>
      <c r="G19" s="9">
        <f t="shared" si="4"/>
        <v>17</v>
      </c>
      <c r="H19" s="7" t="s">
        <v>10</v>
      </c>
    </row>
    <row r="20" ht="18.75" customHeight="1">
      <c r="A20" s="19"/>
      <c r="B20" s="5">
        <f t="shared" si="2"/>
        <v>19</v>
      </c>
      <c r="C20" s="20" t="s">
        <v>31</v>
      </c>
      <c r="D20" s="7">
        <v>1.0</v>
      </c>
      <c r="E20" s="8">
        <f t="shared" si="3"/>
        <v>45724</v>
      </c>
      <c r="F20" s="8">
        <f t="shared" si="1"/>
        <v>45725</v>
      </c>
      <c r="G20" s="9">
        <f t="shared" si="4"/>
        <v>18</v>
      </c>
      <c r="H20" s="7" t="s">
        <v>23</v>
      </c>
    </row>
    <row r="21" ht="18.75" customHeight="1">
      <c r="A21" s="19"/>
      <c r="B21" s="5">
        <f t="shared" si="2"/>
        <v>20</v>
      </c>
      <c r="C21" s="16" t="s">
        <v>32</v>
      </c>
      <c r="D21" s="21">
        <v>10.0</v>
      </c>
      <c r="E21" s="8">
        <f t="shared" si="3"/>
        <v>45725</v>
      </c>
      <c r="F21" s="22">
        <f t="shared" si="1"/>
        <v>45735</v>
      </c>
      <c r="G21" s="9">
        <f t="shared" si="4"/>
        <v>19</v>
      </c>
      <c r="H21" s="7" t="s">
        <v>23</v>
      </c>
    </row>
    <row r="22" ht="18.75" customHeight="1">
      <c r="A22" s="19"/>
      <c r="B22" s="5">
        <f t="shared" si="2"/>
        <v>21</v>
      </c>
      <c r="C22" s="16" t="s">
        <v>33</v>
      </c>
      <c r="D22" s="7">
        <v>1.0</v>
      </c>
      <c r="E22" s="8">
        <f t="shared" si="3"/>
        <v>45735</v>
      </c>
      <c r="F22" s="8">
        <f t="shared" si="1"/>
        <v>45736</v>
      </c>
      <c r="G22" s="9">
        <f t="shared" si="4"/>
        <v>20</v>
      </c>
      <c r="H22" s="7" t="s">
        <v>10</v>
      </c>
    </row>
    <row r="23" ht="18.75" customHeight="1">
      <c r="A23" s="19"/>
      <c r="B23" s="5">
        <f t="shared" si="2"/>
        <v>22</v>
      </c>
      <c r="C23" s="16" t="s">
        <v>34</v>
      </c>
      <c r="D23" s="23">
        <v>8.0</v>
      </c>
      <c r="E23" s="8">
        <f t="shared" si="3"/>
        <v>45736</v>
      </c>
      <c r="F23" s="24">
        <f t="shared" si="1"/>
        <v>45744</v>
      </c>
      <c r="G23" s="9">
        <f t="shared" si="4"/>
        <v>21</v>
      </c>
      <c r="H23" s="7" t="s">
        <v>23</v>
      </c>
    </row>
    <row r="24" ht="18.75" customHeight="1">
      <c r="A24" s="19"/>
      <c r="B24" s="5">
        <f t="shared" si="2"/>
        <v>23</v>
      </c>
      <c r="C24" s="16" t="s">
        <v>35</v>
      </c>
      <c r="D24" s="7">
        <v>4.0</v>
      </c>
      <c r="E24" s="8">
        <f t="shared" si="3"/>
        <v>45744</v>
      </c>
      <c r="F24" s="8">
        <f t="shared" si="1"/>
        <v>45748</v>
      </c>
      <c r="G24" s="9">
        <f t="shared" si="4"/>
        <v>22</v>
      </c>
      <c r="H24" s="7" t="s">
        <v>23</v>
      </c>
    </row>
    <row r="25" ht="18.75" customHeight="1">
      <c r="A25" s="19"/>
      <c r="B25" s="5">
        <f t="shared" si="2"/>
        <v>24</v>
      </c>
      <c r="C25" s="16" t="s">
        <v>36</v>
      </c>
      <c r="D25" s="7">
        <v>1.0</v>
      </c>
      <c r="E25" s="8">
        <f t="shared" si="3"/>
        <v>45748</v>
      </c>
      <c r="F25" s="8">
        <f t="shared" si="1"/>
        <v>45749</v>
      </c>
      <c r="G25" s="9">
        <f t="shared" si="4"/>
        <v>23</v>
      </c>
      <c r="H25" s="7" t="s">
        <v>10</v>
      </c>
    </row>
    <row r="26" ht="18.75" customHeight="1">
      <c r="A26" s="19"/>
      <c r="B26" s="5">
        <f t="shared" si="2"/>
        <v>25</v>
      </c>
      <c r="C26" s="16" t="s">
        <v>37</v>
      </c>
      <c r="D26" s="7">
        <v>1.0</v>
      </c>
      <c r="E26" s="8">
        <f t="shared" si="3"/>
        <v>45749</v>
      </c>
      <c r="F26" s="8">
        <f t="shared" si="1"/>
        <v>45750</v>
      </c>
      <c r="G26" s="9">
        <f t="shared" si="4"/>
        <v>24</v>
      </c>
      <c r="H26" s="7" t="s">
        <v>23</v>
      </c>
    </row>
    <row r="27" ht="18.75" customHeight="1">
      <c r="A27" s="19"/>
      <c r="B27" s="5">
        <f t="shared" si="2"/>
        <v>26</v>
      </c>
      <c r="C27" s="16" t="s">
        <v>38</v>
      </c>
      <c r="D27" s="7">
        <v>8.0</v>
      </c>
      <c r="E27" s="8">
        <f t="shared" si="3"/>
        <v>45750</v>
      </c>
      <c r="F27" s="8">
        <f t="shared" si="1"/>
        <v>45758</v>
      </c>
      <c r="G27" s="9">
        <f t="shared" si="4"/>
        <v>25</v>
      </c>
      <c r="H27" s="7" t="s">
        <v>23</v>
      </c>
    </row>
    <row r="28" ht="18.75" customHeight="1">
      <c r="A28" s="25" t="s">
        <v>39</v>
      </c>
      <c r="B28" s="5">
        <f t="shared" si="2"/>
        <v>27</v>
      </c>
      <c r="C28" s="26" t="s">
        <v>40</v>
      </c>
      <c r="D28" s="7">
        <v>1.0</v>
      </c>
      <c r="E28" s="8">
        <f t="shared" si="3"/>
        <v>45758</v>
      </c>
      <c r="F28" s="8">
        <f t="shared" si="1"/>
        <v>45759</v>
      </c>
      <c r="G28" s="9">
        <f t="shared" si="4"/>
        <v>26</v>
      </c>
      <c r="H28" s="7" t="s">
        <v>10</v>
      </c>
    </row>
    <row r="29" ht="18.75" customHeight="1">
      <c r="A29" s="27"/>
      <c r="B29" s="5">
        <f t="shared" si="2"/>
        <v>28</v>
      </c>
      <c r="C29" s="26" t="s">
        <v>41</v>
      </c>
      <c r="D29" s="7">
        <v>1.0</v>
      </c>
      <c r="E29" s="8">
        <f t="shared" si="3"/>
        <v>45759</v>
      </c>
      <c r="F29" s="8">
        <f t="shared" si="1"/>
        <v>45760</v>
      </c>
      <c r="G29" s="9">
        <f t="shared" si="4"/>
        <v>27</v>
      </c>
      <c r="H29" s="7" t="s">
        <v>23</v>
      </c>
    </row>
    <row r="30" ht="18.75" customHeight="1">
      <c r="A30" s="27"/>
      <c r="B30" s="5">
        <f t="shared" si="2"/>
        <v>29</v>
      </c>
      <c r="C30" s="26" t="s">
        <v>42</v>
      </c>
      <c r="D30" s="7">
        <v>3.0</v>
      </c>
      <c r="E30" s="8">
        <f t="shared" si="3"/>
        <v>45760</v>
      </c>
      <c r="F30" s="8">
        <f t="shared" si="1"/>
        <v>45763</v>
      </c>
      <c r="G30" s="9">
        <f t="shared" si="4"/>
        <v>28</v>
      </c>
      <c r="H30" s="7" t="s">
        <v>23</v>
      </c>
    </row>
    <row r="31" ht="18.75" customHeight="1">
      <c r="A31" s="27"/>
      <c r="B31" s="28">
        <f t="shared" si="2"/>
        <v>30</v>
      </c>
      <c r="C31" s="29" t="s">
        <v>43</v>
      </c>
      <c r="D31" s="21">
        <v>1.0</v>
      </c>
      <c r="E31" s="8">
        <f t="shared" si="3"/>
        <v>45763</v>
      </c>
      <c r="F31" s="30">
        <f t="shared" si="1"/>
        <v>45764</v>
      </c>
      <c r="G31" s="31">
        <f t="shared" si="4"/>
        <v>29</v>
      </c>
      <c r="H31" s="7" t="s">
        <v>23</v>
      </c>
    </row>
    <row r="32" ht="18.75" customHeight="1">
      <c r="A32" s="27"/>
      <c r="B32" s="5">
        <f t="shared" si="2"/>
        <v>31</v>
      </c>
      <c r="C32" s="26" t="s">
        <v>44</v>
      </c>
      <c r="D32" s="7">
        <v>5.0</v>
      </c>
      <c r="E32" s="8">
        <f t="shared" si="3"/>
        <v>45764</v>
      </c>
      <c r="F32" s="8">
        <f t="shared" si="1"/>
        <v>45769</v>
      </c>
      <c r="G32" s="9">
        <f t="shared" si="4"/>
        <v>30</v>
      </c>
      <c r="H32" s="7" t="s">
        <v>23</v>
      </c>
    </row>
    <row r="33" ht="18.75" customHeight="1">
      <c r="A33" s="27"/>
      <c r="B33" s="5">
        <f t="shared" si="2"/>
        <v>32</v>
      </c>
      <c r="C33" s="26" t="s">
        <v>45</v>
      </c>
      <c r="D33" s="7">
        <v>1.0</v>
      </c>
      <c r="E33" s="8">
        <f t="shared" si="3"/>
        <v>45769</v>
      </c>
      <c r="F33" s="8">
        <f t="shared" si="1"/>
        <v>45770</v>
      </c>
      <c r="G33" s="9">
        <f t="shared" si="4"/>
        <v>31</v>
      </c>
      <c r="H33" s="7" t="s">
        <v>10</v>
      </c>
    </row>
    <row r="34" ht="18.75" customHeight="1">
      <c r="A34" s="27"/>
      <c r="B34" s="5">
        <f t="shared" si="2"/>
        <v>33</v>
      </c>
      <c r="C34" s="26" t="s">
        <v>46</v>
      </c>
      <c r="D34" s="7">
        <v>1.0</v>
      </c>
      <c r="E34" s="8">
        <f t="shared" si="3"/>
        <v>45770</v>
      </c>
      <c r="F34" s="8">
        <f t="shared" si="1"/>
        <v>45771</v>
      </c>
      <c r="G34" s="9">
        <f t="shared" si="4"/>
        <v>32</v>
      </c>
      <c r="H34" s="7" t="s">
        <v>23</v>
      </c>
    </row>
    <row r="35" ht="18.75" customHeight="1">
      <c r="A35" s="27"/>
      <c r="B35" s="5">
        <f t="shared" si="2"/>
        <v>34</v>
      </c>
      <c r="C35" s="26" t="s">
        <v>47</v>
      </c>
      <c r="D35" s="7">
        <v>2.0</v>
      </c>
      <c r="E35" s="8">
        <f t="shared" si="3"/>
        <v>45771</v>
      </c>
      <c r="F35" s="8">
        <f t="shared" si="1"/>
        <v>45773</v>
      </c>
      <c r="G35" s="9">
        <f t="shared" si="4"/>
        <v>33</v>
      </c>
      <c r="H35" s="7" t="s">
        <v>23</v>
      </c>
    </row>
    <row r="36" ht="18.75" customHeight="1">
      <c r="A36" s="27"/>
      <c r="B36" s="5">
        <f t="shared" si="2"/>
        <v>35</v>
      </c>
      <c r="C36" s="26" t="s">
        <v>48</v>
      </c>
      <c r="D36" s="7">
        <v>2.0</v>
      </c>
      <c r="E36" s="8">
        <f t="shared" si="3"/>
        <v>45773</v>
      </c>
      <c r="F36" s="8">
        <f t="shared" si="1"/>
        <v>45775</v>
      </c>
      <c r="G36" s="9">
        <f t="shared" si="4"/>
        <v>34</v>
      </c>
      <c r="H36" s="7" t="s">
        <v>49</v>
      </c>
    </row>
    <row r="37" ht="18.75" customHeight="1">
      <c r="A37" s="32" t="s">
        <v>50</v>
      </c>
      <c r="B37" s="5">
        <f t="shared" si="2"/>
        <v>36</v>
      </c>
      <c r="C37" s="33" t="s">
        <v>51</v>
      </c>
      <c r="D37" s="7">
        <v>1.0</v>
      </c>
      <c r="E37" s="8">
        <f t="shared" si="3"/>
        <v>45775</v>
      </c>
      <c r="F37" s="8">
        <f t="shared" si="1"/>
        <v>45776</v>
      </c>
      <c r="G37" s="9">
        <f t="shared" si="4"/>
        <v>35</v>
      </c>
      <c r="H37" s="7" t="s">
        <v>10</v>
      </c>
    </row>
    <row r="38" ht="18.75" customHeight="1">
      <c r="A38" s="34"/>
      <c r="B38" s="5">
        <f t="shared" si="2"/>
        <v>37</v>
      </c>
      <c r="C38" s="35" t="s">
        <v>52</v>
      </c>
      <c r="D38" s="7">
        <v>1.0</v>
      </c>
      <c r="E38" s="8">
        <f t="shared" si="3"/>
        <v>45776</v>
      </c>
      <c r="F38" s="8">
        <f t="shared" si="1"/>
        <v>45777</v>
      </c>
      <c r="G38" s="9">
        <f t="shared" si="4"/>
        <v>36</v>
      </c>
      <c r="H38" s="7" t="s">
        <v>23</v>
      </c>
    </row>
    <row r="39" ht="18.75" customHeight="1">
      <c r="A39" s="34"/>
      <c r="B39" s="5">
        <f t="shared" si="2"/>
        <v>38</v>
      </c>
      <c r="C39" s="33" t="s">
        <v>53</v>
      </c>
      <c r="D39" s="7">
        <v>4.0</v>
      </c>
      <c r="E39" s="8">
        <f t="shared" si="3"/>
        <v>45777</v>
      </c>
      <c r="F39" s="8">
        <f t="shared" si="1"/>
        <v>45781</v>
      </c>
      <c r="G39" s="9">
        <f t="shared" si="4"/>
        <v>37</v>
      </c>
      <c r="H39" s="7" t="s">
        <v>23</v>
      </c>
    </row>
    <row r="40" ht="18.75" customHeight="1">
      <c r="A40" s="34"/>
      <c r="B40" s="5">
        <f t="shared" si="2"/>
        <v>39</v>
      </c>
      <c r="C40" s="33" t="s">
        <v>54</v>
      </c>
      <c r="D40" s="7">
        <v>2.0</v>
      </c>
      <c r="E40" s="8">
        <f t="shared" si="3"/>
        <v>45781</v>
      </c>
      <c r="F40" s="8">
        <f t="shared" si="1"/>
        <v>45783</v>
      </c>
      <c r="G40" s="9">
        <f t="shared" si="4"/>
        <v>38</v>
      </c>
      <c r="H40" s="7" t="s">
        <v>49</v>
      </c>
    </row>
    <row r="41" ht="18.75" customHeight="1">
      <c r="A41" s="36" t="s">
        <v>55</v>
      </c>
      <c r="B41" s="5">
        <f t="shared" si="2"/>
        <v>40</v>
      </c>
      <c r="C41" s="37" t="s">
        <v>56</v>
      </c>
      <c r="D41" s="7">
        <v>1.0</v>
      </c>
      <c r="E41" s="8">
        <f t="shared" si="3"/>
        <v>45783</v>
      </c>
      <c r="F41" s="8">
        <f t="shared" si="1"/>
        <v>45784</v>
      </c>
      <c r="G41" s="9">
        <f>B36</f>
        <v>35</v>
      </c>
      <c r="H41" s="7" t="s">
        <v>10</v>
      </c>
    </row>
    <row r="42" ht="18.75" customHeight="1">
      <c r="A42" s="38"/>
      <c r="B42" s="5">
        <f t="shared" si="2"/>
        <v>41</v>
      </c>
      <c r="C42" s="39" t="s">
        <v>57</v>
      </c>
      <c r="D42" s="7">
        <v>1.0</v>
      </c>
      <c r="E42" s="8">
        <f t="shared" si="3"/>
        <v>45784</v>
      </c>
      <c r="F42" s="8">
        <f t="shared" si="1"/>
        <v>45785</v>
      </c>
      <c r="G42" s="9">
        <f t="shared" ref="G42:G44" si="5">B41</f>
        <v>40</v>
      </c>
      <c r="H42" s="7" t="s">
        <v>23</v>
      </c>
    </row>
    <row r="43" ht="18.75" customHeight="1">
      <c r="A43" s="38"/>
      <c r="B43" s="5">
        <f t="shared" si="2"/>
        <v>42</v>
      </c>
      <c r="C43" s="37" t="s">
        <v>58</v>
      </c>
      <c r="D43" s="7">
        <v>4.0</v>
      </c>
      <c r="E43" s="8">
        <f t="shared" si="3"/>
        <v>45785</v>
      </c>
      <c r="F43" s="8">
        <f t="shared" si="1"/>
        <v>45789</v>
      </c>
      <c r="G43" s="9">
        <f t="shared" si="5"/>
        <v>41</v>
      </c>
      <c r="H43" s="7" t="s">
        <v>23</v>
      </c>
    </row>
    <row r="44" ht="18.75" customHeight="1">
      <c r="A44" s="40"/>
      <c r="B44" s="5">
        <f t="shared" si="2"/>
        <v>43</v>
      </c>
      <c r="C44" s="39" t="s">
        <v>59</v>
      </c>
      <c r="D44" s="7">
        <v>2.0</v>
      </c>
      <c r="E44" s="8">
        <f t="shared" si="3"/>
        <v>45789</v>
      </c>
      <c r="F44" s="8">
        <f t="shared" si="1"/>
        <v>45791</v>
      </c>
      <c r="G44" s="9">
        <f t="shared" si="5"/>
        <v>42</v>
      </c>
      <c r="H44" s="7" t="s">
        <v>49</v>
      </c>
    </row>
    <row r="45" ht="18.75" customHeight="1">
      <c r="A45" s="41" t="s">
        <v>60</v>
      </c>
      <c r="B45" s="5">
        <f t="shared" si="2"/>
        <v>44</v>
      </c>
      <c r="C45" s="42" t="s">
        <v>61</v>
      </c>
      <c r="D45" s="43">
        <v>1.0</v>
      </c>
      <c r="E45" s="8">
        <f t="shared" si="3"/>
        <v>45791</v>
      </c>
      <c r="F45" s="8">
        <f t="shared" si="1"/>
        <v>45792</v>
      </c>
      <c r="G45" s="9">
        <f>B36</f>
        <v>35</v>
      </c>
      <c r="H45" s="7" t="s">
        <v>10</v>
      </c>
    </row>
    <row r="46" ht="18.75" customHeight="1">
      <c r="A46" s="41"/>
      <c r="B46" s="5">
        <f t="shared" si="2"/>
        <v>45</v>
      </c>
      <c r="C46" s="42" t="s">
        <v>62</v>
      </c>
      <c r="D46" s="43">
        <v>1.0</v>
      </c>
      <c r="E46" s="8">
        <f t="shared" si="3"/>
        <v>45792</v>
      </c>
      <c r="F46" s="44">
        <f t="shared" si="1"/>
        <v>45793</v>
      </c>
      <c r="G46" s="9">
        <f t="shared" ref="G46:G48" si="6">B45</f>
        <v>44</v>
      </c>
      <c r="H46" s="7" t="s">
        <v>23</v>
      </c>
    </row>
    <row r="47" ht="18.75" customHeight="1">
      <c r="A47" s="45"/>
      <c r="B47" s="5">
        <f t="shared" si="2"/>
        <v>46</v>
      </c>
      <c r="C47" s="46" t="s">
        <v>63</v>
      </c>
      <c r="D47" s="43">
        <v>4.0</v>
      </c>
      <c r="E47" s="8">
        <f t="shared" si="3"/>
        <v>45793</v>
      </c>
      <c r="F47" s="44">
        <f t="shared" si="1"/>
        <v>45797</v>
      </c>
      <c r="G47" s="9">
        <f t="shared" si="6"/>
        <v>45</v>
      </c>
      <c r="H47" s="7" t="s">
        <v>23</v>
      </c>
    </row>
    <row r="48" ht="18.75" customHeight="1">
      <c r="A48" s="41"/>
      <c r="B48" s="47">
        <f t="shared" si="2"/>
        <v>47</v>
      </c>
      <c r="C48" s="48" t="s">
        <v>64</v>
      </c>
      <c r="D48" s="49">
        <v>2.0</v>
      </c>
      <c r="E48" s="50">
        <f t="shared" si="3"/>
        <v>45797</v>
      </c>
      <c r="F48" s="51">
        <f t="shared" si="1"/>
        <v>45799</v>
      </c>
      <c r="G48" s="52">
        <f t="shared" si="6"/>
        <v>46</v>
      </c>
      <c r="H48" s="53" t="s">
        <v>49</v>
      </c>
    </row>
    <row r="49" ht="18.75" customHeight="1">
      <c r="A49" s="54" t="s">
        <v>8</v>
      </c>
      <c r="B49" s="55">
        <f t="shared" si="2"/>
        <v>48</v>
      </c>
      <c r="C49" s="56" t="s">
        <v>65</v>
      </c>
      <c r="D49" s="57">
        <v>4.0</v>
      </c>
      <c r="E49" s="58">
        <f>F2</f>
        <v>45703</v>
      </c>
      <c r="F49" s="59">
        <f t="shared" si="1"/>
        <v>45707</v>
      </c>
      <c r="G49" s="60">
        <f>B2</f>
        <v>1</v>
      </c>
      <c r="H49" s="7" t="s">
        <v>10</v>
      </c>
    </row>
    <row r="50" ht="18.75" customHeight="1">
      <c r="A50" s="61"/>
      <c r="B50" s="43">
        <f t="shared" si="2"/>
        <v>49</v>
      </c>
      <c r="C50" s="62" t="s">
        <v>66</v>
      </c>
      <c r="D50" s="7">
        <v>7.0</v>
      </c>
      <c r="E50" s="8">
        <f>F2</f>
        <v>45703</v>
      </c>
      <c r="F50" s="58">
        <f t="shared" si="1"/>
        <v>45710</v>
      </c>
      <c r="G50" s="60">
        <f>B2</f>
        <v>1</v>
      </c>
      <c r="H50" s="7" t="s">
        <v>10</v>
      </c>
    </row>
    <row r="51" ht="18.75" customHeight="1">
      <c r="A51" s="61"/>
      <c r="B51" s="43">
        <f t="shared" si="2"/>
        <v>50</v>
      </c>
      <c r="C51" s="62" t="s">
        <v>67</v>
      </c>
      <c r="D51" s="7">
        <v>7.0</v>
      </c>
      <c r="E51" s="8">
        <f>F2</f>
        <v>45703</v>
      </c>
      <c r="F51" s="58">
        <f t="shared" si="1"/>
        <v>45710</v>
      </c>
      <c r="G51" s="60">
        <f>B2</f>
        <v>1</v>
      </c>
      <c r="H51" s="7" t="s">
        <v>10</v>
      </c>
    </row>
    <row r="52" ht="18.75" customHeight="1">
      <c r="A52" s="61"/>
      <c r="B52" s="43">
        <f t="shared" si="2"/>
        <v>51</v>
      </c>
      <c r="C52" s="62" t="s">
        <v>68</v>
      </c>
      <c r="D52" s="7">
        <v>7.0</v>
      </c>
      <c r="E52" s="8">
        <f>F2</f>
        <v>45703</v>
      </c>
      <c r="F52" s="58">
        <f t="shared" si="1"/>
        <v>45710</v>
      </c>
      <c r="G52" s="60">
        <f>B2</f>
        <v>1</v>
      </c>
      <c r="H52" s="7" t="s">
        <v>10</v>
      </c>
    </row>
    <row r="53" ht="18.75" customHeight="1">
      <c r="A53" s="15" t="s">
        <v>20</v>
      </c>
      <c r="B53" s="43">
        <f t="shared" si="2"/>
        <v>52</v>
      </c>
      <c r="C53" s="63" t="s">
        <v>69</v>
      </c>
      <c r="D53" s="64">
        <v>1.0</v>
      </c>
      <c r="E53" s="8">
        <f>F5</f>
        <v>45707</v>
      </c>
      <c r="F53" s="8">
        <f t="shared" si="1"/>
        <v>45708</v>
      </c>
      <c r="G53" s="9">
        <f>B5</f>
        <v>4</v>
      </c>
      <c r="H53" s="7" t="s">
        <v>10</v>
      </c>
    </row>
    <row r="54" ht="18.75" customHeight="1">
      <c r="A54" s="19"/>
      <c r="B54" s="65">
        <f t="shared" si="2"/>
        <v>53</v>
      </c>
      <c r="C54" s="63" t="s">
        <v>70</v>
      </c>
      <c r="D54" s="66">
        <v>1.0</v>
      </c>
      <c r="E54" s="8">
        <f t="shared" ref="E54:E138" si="7">F53</f>
        <v>45708</v>
      </c>
      <c r="F54" s="8">
        <f t="shared" si="1"/>
        <v>45709</v>
      </c>
      <c r="G54" s="9">
        <f t="shared" ref="G54:G78" si="8">B53</f>
        <v>52</v>
      </c>
      <c r="H54" s="7" t="s">
        <v>23</v>
      </c>
    </row>
    <row r="55" ht="18.75" customHeight="1">
      <c r="A55" s="19"/>
      <c r="B55" s="65">
        <f t="shared" si="2"/>
        <v>54</v>
      </c>
      <c r="C55" s="63" t="s">
        <v>71</v>
      </c>
      <c r="D55" s="64">
        <v>1.0</v>
      </c>
      <c r="E55" s="8">
        <f t="shared" si="7"/>
        <v>45709</v>
      </c>
      <c r="F55" s="8">
        <f t="shared" si="1"/>
        <v>45710</v>
      </c>
      <c r="G55" s="9">
        <f t="shared" si="8"/>
        <v>53</v>
      </c>
      <c r="H55" s="7" t="s">
        <v>23</v>
      </c>
    </row>
    <row r="56" ht="18.75" customHeight="1">
      <c r="A56" s="18"/>
      <c r="B56" s="5">
        <f t="shared" si="2"/>
        <v>55</v>
      </c>
      <c r="C56" s="16" t="s">
        <v>72</v>
      </c>
      <c r="D56" s="66">
        <v>3.0</v>
      </c>
      <c r="E56" s="8">
        <f t="shared" si="7"/>
        <v>45710</v>
      </c>
      <c r="F56" s="8">
        <f t="shared" si="1"/>
        <v>45713</v>
      </c>
      <c r="G56" s="9">
        <f t="shared" si="8"/>
        <v>54</v>
      </c>
      <c r="H56" s="7" t="s">
        <v>23</v>
      </c>
    </row>
    <row r="57" ht="18.75" customHeight="1">
      <c r="A57" s="18"/>
      <c r="B57" s="5">
        <f t="shared" si="2"/>
        <v>56</v>
      </c>
      <c r="C57" s="16" t="s">
        <v>73</v>
      </c>
      <c r="D57" s="64">
        <v>1.0</v>
      </c>
      <c r="E57" s="8">
        <f t="shared" si="7"/>
        <v>45713</v>
      </c>
      <c r="F57" s="8">
        <f t="shared" si="1"/>
        <v>45714</v>
      </c>
      <c r="G57" s="9">
        <f t="shared" si="8"/>
        <v>55</v>
      </c>
      <c r="H57" s="7" t="s">
        <v>10</v>
      </c>
    </row>
    <row r="58" ht="18.75" customHeight="1">
      <c r="A58" s="19"/>
      <c r="B58" s="5">
        <f t="shared" si="2"/>
        <v>57</v>
      </c>
      <c r="C58" s="16" t="s">
        <v>74</v>
      </c>
      <c r="D58" s="66">
        <v>1.0</v>
      </c>
      <c r="E58" s="8">
        <f t="shared" si="7"/>
        <v>45714</v>
      </c>
      <c r="F58" s="8">
        <f t="shared" si="1"/>
        <v>45715</v>
      </c>
      <c r="G58" s="9">
        <f t="shared" si="8"/>
        <v>56</v>
      </c>
      <c r="H58" s="7" t="s">
        <v>23</v>
      </c>
    </row>
    <row r="59" ht="18.75" customHeight="1">
      <c r="A59" s="19"/>
      <c r="B59" s="5">
        <f t="shared" si="2"/>
        <v>58</v>
      </c>
      <c r="C59" s="16" t="s">
        <v>75</v>
      </c>
      <c r="D59" s="64">
        <v>1.0</v>
      </c>
      <c r="E59" s="8">
        <f t="shared" si="7"/>
        <v>45715</v>
      </c>
      <c r="F59" s="8">
        <f t="shared" si="1"/>
        <v>45716</v>
      </c>
      <c r="G59" s="9">
        <f t="shared" si="8"/>
        <v>57</v>
      </c>
      <c r="H59" s="7" t="s">
        <v>23</v>
      </c>
    </row>
    <row r="60" ht="18.75" customHeight="1">
      <c r="A60" s="19"/>
      <c r="B60" s="5">
        <f t="shared" si="2"/>
        <v>59</v>
      </c>
      <c r="C60" s="16" t="s">
        <v>29</v>
      </c>
      <c r="D60" s="66">
        <v>4.0</v>
      </c>
      <c r="E60" s="8">
        <f t="shared" si="7"/>
        <v>45716</v>
      </c>
      <c r="F60" s="8">
        <f t="shared" si="1"/>
        <v>45720</v>
      </c>
      <c r="G60" s="9">
        <f t="shared" si="8"/>
        <v>58</v>
      </c>
      <c r="H60" s="7" t="s">
        <v>23</v>
      </c>
    </row>
    <row r="61" ht="18.75" customHeight="1">
      <c r="A61" s="19"/>
      <c r="B61" s="5">
        <f t="shared" si="2"/>
        <v>60</v>
      </c>
      <c r="C61" s="20" t="s">
        <v>30</v>
      </c>
      <c r="D61" s="64">
        <v>1.0</v>
      </c>
      <c r="E61" s="8">
        <f t="shared" si="7"/>
        <v>45720</v>
      </c>
      <c r="F61" s="8">
        <f t="shared" si="1"/>
        <v>45721</v>
      </c>
      <c r="G61" s="9">
        <f t="shared" si="8"/>
        <v>59</v>
      </c>
      <c r="H61" s="7" t="s">
        <v>10</v>
      </c>
    </row>
    <row r="62" ht="18.75" customHeight="1">
      <c r="A62" s="19"/>
      <c r="B62" s="5">
        <f t="shared" si="2"/>
        <v>61</v>
      </c>
      <c r="C62" s="20" t="s">
        <v>31</v>
      </c>
      <c r="D62" s="66">
        <v>1.0</v>
      </c>
      <c r="E62" s="8">
        <f t="shared" si="7"/>
        <v>45721</v>
      </c>
      <c r="F62" s="8">
        <f t="shared" si="1"/>
        <v>45722</v>
      </c>
      <c r="G62" s="9">
        <f t="shared" si="8"/>
        <v>60</v>
      </c>
      <c r="H62" s="7" t="s">
        <v>23</v>
      </c>
    </row>
    <row r="63" ht="18.75" customHeight="1">
      <c r="A63" s="19"/>
      <c r="B63" s="5">
        <f t="shared" si="2"/>
        <v>62</v>
      </c>
      <c r="C63" s="16" t="s">
        <v>32</v>
      </c>
      <c r="D63" s="64">
        <v>2.0</v>
      </c>
      <c r="E63" s="8">
        <f t="shared" si="7"/>
        <v>45722</v>
      </c>
      <c r="F63" s="22">
        <f t="shared" si="1"/>
        <v>45724</v>
      </c>
      <c r="G63" s="9">
        <f t="shared" si="8"/>
        <v>61</v>
      </c>
      <c r="H63" s="7" t="s">
        <v>23</v>
      </c>
    </row>
    <row r="64" ht="18.75" customHeight="1">
      <c r="A64" s="19"/>
      <c r="B64" s="5">
        <f t="shared" si="2"/>
        <v>63</v>
      </c>
      <c r="C64" s="16" t="s">
        <v>76</v>
      </c>
      <c r="D64" s="66">
        <v>1.0</v>
      </c>
      <c r="E64" s="8">
        <f t="shared" si="7"/>
        <v>45724</v>
      </c>
      <c r="F64" s="8">
        <f t="shared" si="1"/>
        <v>45725</v>
      </c>
      <c r="G64" s="9">
        <f t="shared" si="8"/>
        <v>62</v>
      </c>
      <c r="H64" s="7" t="s">
        <v>10</v>
      </c>
    </row>
    <row r="65" ht="18.75" customHeight="1">
      <c r="A65" s="19"/>
      <c r="B65" s="5">
        <f t="shared" si="2"/>
        <v>64</v>
      </c>
      <c r="C65" s="16" t="s">
        <v>77</v>
      </c>
      <c r="D65" s="64">
        <v>2.0</v>
      </c>
      <c r="E65" s="8">
        <f t="shared" si="7"/>
        <v>45725</v>
      </c>
      <c r="F65" s="24">
        <f t="shared" si="1"/>
        <v>45727</v>
      </c>
      <c r="G65" s="9">
        <f t="shared" si="8"/>
        <v>63</v>
      </c>
      <c r="H65" s="7" t="s">
        <v>23</v>
      </c>
    </row>
    <row r="66" ht="18.75" customHeight="1">
      <c r="A66" s="19"/>
      <c r="B66" s="5">
        <f t="shared" si="2"/>
        <v>65</v>
      </c>
      <c r="C66" s="16" t="s">
        <v>35</v>
      </c>
      <c r="D66" s="66">
        <v>4.0</v>
      </c>
      <c r="E66" s="8">
        <f t="shared" si="7"/>
        <v>45727</v>
      </c>
      <c r="F66" s="8">
        <f t="shared" si="1"/>
        <v>45731</v>
      </c>
      <c r="G66" s="9">
        <f t="shared" si="8"/>
        <v>64</v>
      </c>
      <c r="H66" s="7" t="s">
        <v>23</v>
      </c>
    </row>
    <row r="67" ht="18.75" customHeight="1">
      <c r="A67" s="19"/>
      <c r="B67" s="5">
        <f t="shared" si="2"/>
        <v>66</v>
      </c>
      <c r="C67" s="67" t="s">
        <v>78</v>
      </c>
      <c r="D67" s="64">
        <v>1.0</v>
      </c>
      <c r="E67" s="8">
        <f t="shared" si="7"/>
        <v>45731</v>
      </c>
      <c r="F67" s="8">
        <f t="shared" si="1"/>
        <v>45732</v>
      </c>
      <c r="G67" s="9">
        <f t="shared" si="8"/>
        <v>65</v>
      </c>
      <c r="H67" s="7" t="s">
        <v>10</v>
      </c>
    </row>
    <row r="68" ht="18.75" customHeight="1">
      <c r="A68" s="19"/>
      <c r="B68" s="5">
        <f t="shared" si="2"/>
        <v>67</v>
      </c>
      <c r="C68" s="67" t="s">
        <v>79</v>
      </c>
      <c r="D68" s="66">
        <v>1.0</v>
      </c>
      <c r="E68" s="8">
        <f t="shared" si="7"/>
        <v>45732</v>
      </c>
      <c r="F68" s="8">
        <f t="shared" si="1"/>
        <v>45733</v>
      </c>
      <c r="G68" s="9">
        <f t="shared" si="8"/>
        <v>66</v>
      </c>
      <c r="H68" s="7" t="s">
        <v>23</v>
      </c>
    </row>
    <row r="69" ht="18.75" customHeight="1">
      <c r="A69" s="68"/>
      <c r="B69" s="5">
        <f t="shared" si="2"/>
        <v>68</v>
      </c>
      <c r="C69" s="16" t="s">
        <v>80</v>
      </c>
      <c r="D69" s="64">
        <v>2.0</v>
      </c>
      <c r="E69" s="8">
        <f t="shared" si="7"/>
        <v>45733</v>
      </c>
      <c r="F69" s="8">
        <f t="shared" si="1"/>
        <v>45735</v>
      </c>
      <c r="G69" s="9">
        <f t="shared" si="8"/>
        <v>67</v>
      </c>
      <c r="H69" s="7" t="s">
        <v>23</v>
      </c>
    </row>
    <row r="70" ht="18.75" customHeight="1">
      <c r="A70" s="69" t="s">
        <v>81</v>
      </c>
      <c r="B70" s="5">
        <f t="shared" si="2"/>
        <v>69</v>
      </c>
      <c r="C70" s="26" t="s">
        <v>82</v>
      </c>
      <c r="D70" s="7">
        <v>1.0</v>
      </c>
      <c r="E70" s="8">
        <f t="shared" si="7"/>
        <v>45735</v>
      </c>
      <c r="F70" s="8">
        <f t="shared" si="1"/>
        <v>45736</v>
      </c>
      <c r="G70" s="9">
        <f t="shared" si="8"/>
        <v>68</v>
      </c>
      <c r="H70" s="7" t="s">
        <v>10</v>
      </c>
    </row>
    <row r="71" ht="18.75" customHeight="1">
      <c r="A71" s="27"/>
      <c r="B71" s="5">
        <f t="shared" si="2"/>
        <v>70</v>
      </c>
      <c r="C71" s="26" t="s">
        <v>83</v>
      </c>
      <c r="D71" s="7">
        <v>1.0</v>
      </c>
      <c r="E71" s="8">
        <f t="shared" si="7"/>
        <v>45736</v>
      </c>
      <c r="F71" s="8">
        <f t="shared" si="1"/>
        <v>45737</v>
      </c>
      <c r="G71" s="9">
        <f t="shared" si="8"/>
        <v>69</v>
      </c>
      <c r="H71" s="7" t="s">
        <v>23</v>
      </c>
    </row>
    <row r="72" ht="18.75" customHeight="1">
      <c r="A72" s="27"/>
      <c r="B72" s="5">
        <f t="shared" si="2"/>
        <v>71</v>
      </c>
      <c r="C72" s="26" t="s">
        <v>84</v>
      </c>
      <c r="D72" s="7">
        <v>3.0</v>
      </c>
      <c r="E72" s="8">
        <f t="shared" si="7"/>
        <v>45737</v>
      </c>
      <c r="F72" s="8">
        <f t="shared" si="1"/>
        <v>45740</v>
      </c>
      <c r="G72" s="9">
        <f t="shared" si="8"/>
        <v>70</v>
      </c>
      <c r="H72" s="7" t="s">
        <v>23</v>
      </c>
    </row>
    <row r="73" ht="18.75" customHeight="1">
      <c r="A73" s="27"/>
      <c r="B73" s="43">
        <f t="shared" si="2"/>
        <v>72</v>
      </c>
      <c r="C73" s="29" t="s">
        <v>85</v>
      </c>
      <c r="D73" s="21">
        <v>1.0</v>
      </c>
      <c r="E73" s="8">
        <f t="shared" si="7"/>
        <v>45740</v>
      </c>
      <c r="F73" s="58">
        <f t="shared" si="1"/>
        <v>45741</v>
      </c>
      <c r="G73" s="70">
        <f t="shared" si="8"/>
        <v>71</v>
      </c>
      <c r="H73" s="7" t="s">
        <v>23</v>
      </c>
    </row>
    <row r="74" ht="18.75" customHeight="1">
      <c r="A74" s="27"/>
      <c r="B74" s="5">
        <f t="shared" si="2"/>
        <v>73</v>
      </c>
      <c r="C74" s="26" t="s">
        <v>86</v>
      </c>
      <c r="D74" s="7">
        <v>5.0</v>
      </c>
      <c r="E74" s="8">
        <f t="shared" si="7"/>
        <v>45741</v>
      </c>
      <c r="F74" s="8">
        <f t="shared" si="1"/>
        <v>45746</v>
      </c>
      <c r="G74" s="9">
        <f t="shared" si="8"/>
        <v>72</v>
      </c>
      <c r="H74" s="7" t="s">
        <v>23</v>
      </c>
    </row>
    <row r="75" ht="18.75" customHeight="1">
      <c r="A75" s="27"/>
      <c r="B75" s="5">
        <f t="shared" si="2"/>
        <v>74</v>
      </c>
      <c r="C75" s="26" t="s">
        <v>87</v>
      </c>
      <c r="D75" s="7">
        <v>1.0</v>
      </c>
      <c r="E75" s="8">
        <f t="shared" si="7"/>
        <v>45746</v>
      </c>
      <c r="F75" s="8">
        <f t="shared" si="1"/>
        <v>45747</v>
      </c>
      <c r="G75" s="9">
        <f t="shared" si="8"/>
        <v>73</v>
      </c>
      <c r="H75" s="7" t="s">
        <v>10</v>
      </c>
    </row>
    <row r="76" ht="18.75" customHeight="1">
      <c r="A76" s="27"/>
      <c r="B76" s="5">
        <f t="shared" si="2"/>
        <v>75</v>
      </c>
      <c r="C76" s="26" t="s">
        <v>88</v>
      </c>
      <c r="D76" s="7">
        <v>1.0</v>
      </c>
      <c r="E76" s="8">
        <f t="shared" si="7"/>
        <v>45747</v>
      </c>
      <c r="F76" s="8">
        <f t="shared" si="1"/>
        <v>45748</v>
      </c>
      <c r="G76" s="9">
        <f t="shared" si="8"/>
        <v>74</v>
      </c>
      <c r="H76" s="7" t="s">
        <v>23</v>
      </c>
    </row>
    <row r="77" ht="18.75" customHeight="1">
      <c r="A77" s="27"/>
      <c r="B77" s="5">
        <f t="shared" si="2"/>
        <v>76</v>
      </c>
      <c r="C77" s="26" t="s">
        <v>89</v>
      </c>
      <c r="D77" s="7">
        <v>2.0</v>
      </c>
      <c r="E77" s="8">
        <f t="shared" si="7"/>
        <v>45748</v>
      </c>
      <c r="F77" s="8">
        <f t="shared" si="1"/>
        <v>45750</v>
      </c>
      <c r="G77" s="9">
        <f t="shared" si="8"/>
        <v>75</v>
      </c>
      <c r="H77" s="7" t="s">
        <v>23</v>
      </c>
    </row>
    <row r="78" ht="18.75" customHeight="1">
      <c r="A78" s="27"/>
      <c r="B78" s="5">
        <f t="shared" si="2"/>
        <v>77</v>
      </c>
      <c r="C78" s="26" t="s">
        <v>90</v>
      </c>
      <c r="D78" s="7">
        <v>2.0</v>
      </c>
      <c r="E78" s="8">
        <f t="shared" si="7"/>
        <v>45750</v>
      </c>
      <c r="F78" s="8">
        <f t="shared" si="1"/>
        <v>45752</v>
      </c>
      <c r="G78" s="9">
        <f t="shared" si="8"/>
        <v>76</v>
      </c>
      <c r="H78" s="7" t="s">
        <v>49</v>
      </c>
    </row>
    <row r="79" ht="18.75" customHeight="1">
      <c r="A79" s="27"/>
      <c r="B79" s="5">
        <f t="shared" si="2"/>
        <v>78</v>
      </c>
      <c r="C79" s="29" t="s">
        <v>91</v>
      </c>
      <c r="D79" s="7">
        <v>1.0</v>
      </c>
      <c r="E79" s="8">
        <f t="shared" si="7"/>
        <v>45752</v>
      </c>
      <c r="F79" s="8">
        <f t="shared" si="1"/>
        <v>45753</v>
      </c>
      <c r="G79" s="9" t="str">
        <f>B49 &amp; "-" &amp; B78</f>
        <v>48-77</v>
      </c>
      <c r="H79" s="7" t="s">
        <v>10</v>
      </c>
    </row>
    <row r="80" ht="18.75" customHeight="1">
      <c r="A80" s="27"/>
      <c r="B80" s="5">
        <f t="shared" si="2"/>
        <v>79</v>
      </c>
      <c r="C80" s="29" t="s">
        <v>92</v>
      </c>
      <c r="D80" s="7">
        <v>1.0</v>
      </c>
      <c r="E80" s="8">
        <f t="shared" si="7"/>
        <v>45753</v>
      </c>
      <c r="F80" s="8">
        <f t="shared" si="1"/>
        <v>45754</v>
      </c>
      <c r="G80" s="9">
        <f t="shared" ref="G80:G82" si="9">B79</f>
        <v>78</v>
      </c>
      <c r="H80" s="7" t="s">
        <v>23</v>
      </c>
    </row>
    <row r="81" ht="18.75" customHeight="1">
      <c r="A81" s="27"/>
      <c r="B81" s="5">
        <f t="shared" si="2"/>
        <v>80</v>
      </c>
      <c r="C81" s="29" t="s">
        <v>93</v>
      </c>
      <c r="D81" s="7">
        <v>2.0</v>
      </c>
      <c r="E81" s="8">
        <f t="shared" si="7"/>
        <v>45754</v>
      </c>
      <c r="F81" s="8">
        <f t="shared" si="1"/>
        <v>45756</v>
      </c>
      <c r="G81" s="9">
        <f t="shared" si="9"/>
        <v>79</v>
      </c>
      <c r="H81" s="7" t="s">
        <v>23</v>
      </c>
    </row>
    <row r="82" ht="18.75" customHeight="1">
      <c r="A82" s="71"/>
      <c r="B82" s="5">
        <f t="shared" si="2"/>
        <v>81</v>
      </c>
      <c r="C82" s="29" t="s">
        <v>94</v>
      </c>
      <c r="D82" s="7">
        <v>2.0</v>
      </c>
      <c r="E82" s="8">
        <f t="shared" si="7"/>
        <v>45756</v>
      </c>
      <c r="F82" s="8">
        <f t="shared" si="1"/>
        <v>45758</v>
      </c>
      <c r="G82" s="9">
        <f t="shared" si="9"/>
        <v>80</v>
      </c>
      <c r="H82" s="7" t="s">
        <v>49</v>
      </c>
    </row>
    <row r="83" ht="18.75" customHeight="1">
      <c r="A83" s="72" t="s">
        <v>55</v>
      </c>
      <c r="B83" s="5">
        <f t="shared" si="2"/>
        <v>82</v>
      </c>
      <c r="C83" s="73" t="s">
        <v>95</v>
      </c>
      <c r="D83" s="7">
        <v>1.0</v>
      </c>
      <c r="E83" s="8">
        <f t="shared" si="7"/>
        <v>45758</v>
      </c>
      <c r="F83" s="8">
        <f t="shared" si="1"/>
        <v>45759</v>
      </c>
      <c r="G83" s="9" t="str">
        <f>B50 &amp; "-" &amp; B82</f>
        <v>49-81</v>
      </c>
      <c r="H83" s="7" t="s">
        <v>10</v>
      </c>
    </row>
    <row r="84" ht="18.75" customHeight="1">
      <c r="A84" s="38"/>
      <c r="B84" s="5">
        <f t="shared" si="2"/>
        <v>83</v>
      </c>
      <c r="C84" s="73" t="s">
        <v>96</v>
      </c>
      <c r="D84" s="7">
        <v>2.0</v>
      </c>
      <c r="E84" s="8">
        <f t="shared" si="7"/>
        <v>45759</v>
      </c>
      <c r="F84" s="8">
        <f t="shared" si="1"/>
        <v>45761</v>
      </c>
      <c r="G84" s="9">
        <f t="shared" ref="G84:G90" si="10">B83</f>
        <v>82</v>
      </c>
      <c r="H84" s="7" t="s">
        <v>23</v>
      </c>
    </row>
    <row r="85" ht="18.75" customHeight="1">
      <c r="A85" s="38"/>
      <c r="B85" s="5">
        <f t="shared" si="2"/>
        <v>84</v>
      </c>
      <c r="C85" s="73" t="s">
        <v>97</v>
      </c>
      <c r="D85" s="7">
        <v>4.0</v>
      </c>
      <c r="E85" s="8">
        <f t="shared" si="7"/>
        <v>45761</v>
      </c>
      <c r="F85" s="8">
        <f t="shared" si="1"/>
        <v>45765</v>
      </c>
      <c r="G85" s="9">
        <f t="shared" si="10"/>
        <v>83</v>
      </c>
      <c r="H85" s="7" t="s">
        <v>23</v>
      </c>
    </row>
    <row r="86" ht="18.75" customHeight="1">
      <c r="A86" s="38"/>
      <c r="B86" s="5">
        <f t="shared" si="2"/>
        <v>85</v>
      </c>
      <c r="C86" s="73" t="s">
        <v>98</v>
      </c>
      <c r="D86" s="43">
        <v>2.0</v>
      </c>
      <c r="E86" s="8">
        <f t="shared" si="7"/>
        <v>45765</v>
      </c>
      <c r="F86" s="8">
        <f t="shared" si="1"/>
        <v>45767</v>
      </c>
      <c r="G86" s="9">
        <f t="shared" si="10"/>
        <v>84</v>
      </c>
      <c r="H86" s="7" t="s">
        <v>49</v>
      </c>
    </row>
    <row r="87" ht="18.75" customHeight="1">
      <c r="A87" s="38"/>
      <c r="B87" s="5">
        <f t="shared" si="2"/>
        <v>86</v>
      </c>
      <c r="C87" s="39" t="s">
        <v>99</v>
      </c>
      <c r="D87" s="21">
        <v>1.0</v>
      </c>
      <c r="E87" s="8">
        <f t="shared" si="7"/>
        <v>45767</v>
      </c>
      <c r="F87" s="8">
        <f t="shared" si="1"/>
        <v>45768</v>
      </c>
      <c r="G87" s="9">
        <f t="shared" si="10"/>
        <v>85</v>
      </c>
      <c r="H87" s="7" t="s">
        <v>10</v>
      </c>
    </row>
    <row r="88" ht="18.75" customHeight="1">
      <c r="A88" s="38"/>
      <c r="B88" s="5">
        <f t="shared" si="2"/>
        <v>87</v>
      </c>
      <c r="C88" s="39" t="s">
        <v>100</v>
      </c>
      <c r="D88" s="23">
        <v>2.0</v>
      </c>
      <c r="E88" s="8">
        <f t="shared" si="7"/>
        <v>45768</v>
      </c>
      <c r="F88" s="8">
        <f t="shared" si="1"/>
        <v>45770</v>
      </c>
      <c r="G88" s="9">
        <f t="shared" si="10"/>
        <v>86</v>
      </c>
      <c r="H88" s="7" t="s">
        <v>23</v>
      </c>
    </row>
    <row r="89" ht="18.75" customHeight="1">
      <c r="A89" s="38"/>
      <c r="B89" s="5">
        <f t="shared" si="2"/>
        <v>88</v>
      </c>
      <c r="C89" s="39" t="s">
        <v>101</v>
      </c>
      <c r="D89" s="21">
        <v>4.0</v>
      </c>
      <c r="E89" s="8">
        <f t="shared" si="7"/>
        <v>45770</v>
      </c>
      <c r="F89" s="8">
        <f t="shared" si="1"/>
        <v>45774</v>
      </c>
      <c r="G89" s="9">
        <f t="shared" si="10"/>
        <v>87</v>
      </c>
      <c r="H89" s="7" t="s">
        <v>23</v>
      </c>
    </row>
    <row r="90" ht="18.75" customHeight="1">
      <c r="A90" s="38"/>
      <c r="B90" s="5">
        <f t="shared" si="2"/>
        <v>89</v>
      </c>
      <c r="C90" s="73" t="s">
        <v>102</v>
      </c>
      <c r="D90" s="74">
        <v>2.0</v>
      </c>
      <c r="E90" s="8">
        <f t="shared" si="7"/>
        <v>45774</v>
      </c>
      <c r="F90" s="8">
        <f t="shared" si="1"/>
        <v>45776</v>
      </c>
      <c r="G90" s="9">
        <f t="shared" si="10"/>
        <v>88</v>
      </c>
      <c r="H90" s="7" t="s">
        <v>49</v>
      </c>
    </row>
    <row r="91" ht="18.75" customHeight="1">
      <c r="A91" s="75" t="s">
        <v>103</v>
      </c>
      <c r="B91" s="5">
        <f t="shared" si="2"/>
        <v>90</v>
      </c>
      <c r="C91" s="76" t="s">
        <v>104</v>
      </c>
      <c r="D91" s="21">
        <v>1.0</v>
      </c>
      <c r="E91" s="8">
        <f t="shared" si="7"/>
        <v>45776</v>
      </c>
      <c r="F91" s="8">
        <f t="shared" si="1"/>
        <v>45777</v>
      </c>
      <c r="G91" s="9" t="str">
        <f>B52 &amp; "-" &amp; B82</f>
        <v>51-81</v>
      </c>
      <c r="H91" s="7" t="s">
        <v>10</v>
      </c>
    </row>
    <row r="92" ht="18.75" customHeight="1">
      <c r="A92" s="77"/>
      <c r="B92" s="5">
        <f t="shared" si="2"/>
        <v>91</v>
      </c>
      <c r="C92" s="76" t="s">
        <v>105</v>
      </c>
      <c r="D92" s="23">
        <v>2.0</v>
      </c>
      <c r="E92" s="8">
        <f t="shared" si="7"/>
        <v>45777</v>
      </c>
      <c r="F92" s="8">
        <f t="shared" si="1"/>
        <v>45779</v>
      </c>
      <c r="G92" s="9">
        <f t="shared" ref="G92:G98" si="11">B91</f>
        <v>90</v>
      </c>
      <c r="H92" s="7" t="s">
        <v>23</v>
      </c>
    </row>
    <row r="93" ht="18.75" customHeight="1">
      <c r="A93" s="77"/>
      <c r="B93" s="5">
        <f t="shared" si="2"/>
        <v>92</v>
      </c>
      <c r="C93" s="76" t="s">
        <v>106</v>
      </c>
      <c r="D93" s="21">
        <v>4.0</v>
      </c>
      <c r="E93" s="8">
        <f t="shared" si="7"/>
        <v>45779</v>
      </c>
      <c r="F93" s="8">
        <f t="shared" si="1"/>
        <v>45783</v>
      </c>
      <c r="G93" s="9">
        <f t="shared" si="11"/>
        <v>91</v>
      </c>
      <c r="H93" s="7" t="s">
        <v>23</v>
      </c>
    </row>
    <row r="94" ht="18.75" customHeight="1">
      <c r="A94" s="77"/>
      <c r="B94" s="5">
        <f t="shared" si="2"/>
        <v>93</v>
      </c>
      <c r="C94" s="76" t="s">
        <v>107</v>
      </c>
      <c r="D94" s="74">
        <v>2.0</v>
      </c>
      <c r="E94" s="8">
        <f t="shared" si="7"/>
        <v>45783</v>
      </c>
      <c r="F94" s="8">
        <f t="shared" si="1"/>
        <v>45785</v>
      </c>
      <c r="G94" s="9">
        <f t="shared" si="11"/>
        <v>92</v>
      </c>
      <c r="H94" s="7" t="s">
        <v>49</v>
      </c>
    </row>
    <row r="95" ht="18.75" customHeight="1">
      <c r="A95" s="77"/>
      <c r="B95" s="5">
        <f t="shared" si="2"/>
        <v>94</v>
      </c>
      <c r="C95" s="78" t="s">
        <v>108</v>
      </c>
      <c r="D95" s="21">
        <v>1.0</v>
      </c>
      <c r="E95" s="8">
        <f t="shared" si="7"/>
        <v>45785</v>
      </c>
      <c r="F95" s="8">
        <f t="shared" si="1"/>
        <v>45786</v>
      </c>
      <c r="G95" s="9">
        <f t="shared" si="11"/>
        <v>93</v>
      </c>
      <c r="H95" s="7" t="s">
        <v>10</v>
      </c>
    </row>
    <row r="96" ht="18.75" customHeight="1">
      <c r="A96" s="77"/>
      <c r="B96" s="5">
        <f t="shared" si="2"/>
        <v>95</v>
      </c>
      <c r="C96" s="78" t="s">
        <v>109</v>
      </c>
      <c r="D96" s="23">
        <v>2.0</v>
      </c>
      <c r="E96" s="8">
        <f t="shared" si="7"/>
        <v>45786</v>
      </c>
      <c r="F96" s="8">
        <f t="shared" si="1"/>
        <v>45788</v>
      </c>
      <c r="G96" s="9">
        <f t="shared" si="11"/>
        <v>94</v>
      </c>
      <c r="H96" s="7" t="s">
        <v>23</v>
      </c>
    </row>
    <row r="97" ht="18.75" customHeight="1">
      <c r="A97" s="77"/>
      <c r="B97" s="5">
        <f t="shared" si="2"/>
        <v>96</v>
      </c>
      <c r="C97" s="78" t="s">
        <v>110</v>
      </c>
      <c r="D97" s="21">
        <v>4.0</v>
      </c>
      <c r="E97" s="8">
        <f t="shared" si="7"/>
        <v>45788</v>
      </c>
      <c r="F97" s="8">
        <f t="shared" si="1"/>
        <v>45792</v>
      </c>
      <c r="G97" s="9">
        <f t="shared" si="11"/>
        <v>95</v>
      </c>
      <c r="H97" s="7" t="s">
        <v>23</v>
      </c>
    </row>
    <row r="98" ht="18.75" customHeight="1">
      <c r="A98" s="79"/>
      <c r="B98" s="5">
        <f t="shared" si="2"/>
        <v>97</v>
      </c>
      <c r="C98" s="76" t="s">
        <v>111</v>
      </c>
      <c r="D98" s="74">
        <v>2.0</v>
      </c>
      <c r="E98" s="8">
        <f t="shared" si="7"/>
        <v>45792</v>
      </c>
      <c r="F98" s="8">
        <f t="shared" si="1"/>
        <v>45794</v>
      </c>
      <c r="G98" s="9">
        <f t="shared" si="11"/>
        <v>96</v>
      </c>
      <c r="H98" s="7" t="s">
        <v>49</v>
      </c>
    </row>
    <row r="99" ht="18.75" customHeight="1">
      <c r="A99" s="41" t="s">
        <v>60</v>
      </c>
      <c r="B99" s="5">
        <f t="shared" si="2"/>
        <v>98</v>
      </c>
      <c r="C99" s="80" t="s">
        <v>112</v>
      </c>
      <c r="D99" s="21">
        <v>1.0</v>
      </c>
      <c r="E99" s="8">
        <f t="shared" si="7"/>
        <v>45794</v>
      </c>
      <c r="F99" s="8">
        <f t="shared" si="1"/>
        <v>45795</v>
      </c>
      <c r="G99" s="9" t="str">
        <f>B51 &amp; "-" &amp; B82</f>
        <v>50-81</v>
      </c>
      <c r="H99" s="7" t="s">
        <v>10</v>
      </c>
    </row>
    <row r="100" ht="18.75" customHeight="1">
      <c r="A100" s="81"/>
      <c r="B100" s="5">
        <f t="shared" si="2"/>
        <v>99</v>
      </c>
      <c r="C100" s="80" t="s">
        <v>113</v>
      </c>
      <c r="D100" s="23">
        <v>2.0</v>
      </c>
      <c r="E100" s="8">
        <f t="shared" si="7"/>
        <v>45795</v>
      </c>
      <c r="F100" s="8">
        <f t="shared" si="1"/>
        <v>45797</v>
      </c>
      <c r="G100" s="9">
        <f t="shared" ref="G100:G102" si="12">B99</f>
        <v>98</v>
      </c>
      <c r="H100" s="7" t="s">
        <v>23</v>
      </c>
    </row>
    <row r="101" ht="18.75" customHeight="1">
      <c r="A101" s="81"/>
      <c r="B101" s="5">
        <f t="shared" si="2"/>
        <v>100</v>
      </c>
      <c r="C101" s="80" t="s">
        <v>114</v>
      </c>
      <c r="D101" s="21">
        <v>4.0</v>
      </c>
      <c r="E101" s="8">
        <f t="shared" si="7"/>
        <v>45797</v>
      </c>
      <c r="F101" s="8">
        <f t="shared" si="1"/>
        <v>45801</v>
      </c>
      <c r="G101" s="9">
        <f t="shared" si="12"/>
        <v>99</v>
      </c>
      <c r="H101" s="7" t="s">
        <v>23</v>
      </c>
    </row>
    <row r="102" ht="18.75" customHeight="1">
      <c r="A102" s="41"/>
      <c r="B102" s="47">
        <f t="shared" si="2"/>
        <v>101</v>
      </c>
      <c r="C102" s="82" t="s">
        <v>115</v>
      </c>
      <c r="D102" s="83">
        <v>2.0</v>
      </c>
      <c r="E102" s="84">
        <f t="shared" si="7"/>
        <v>45801</v>
      </c>
      <c r="F102" s="84">
        <f t="shared" si="1"/>
        <v>45803</v>
      </c>
      <c r="G102" s="9">
        <f t="shared" si="12"/>
        <v>100</v>
      </c>
      <c r="H102" s="53" t="s">
        <v>49</v>
      </c>
    </row>
    <row r="103" ht="18.75" customHeight="1">
      <c r="A103" s="85" t="s">
        <v>8</v>
      </c>
      <c r="B103" s="86">
        <f t="shared" si="2"/>
        <v>102</v>
      </c>
      <c r="C103" s="87" t="s">
        <v>116</v>
      </c>
      <c r="D103" s="57">
        <v>4.0</v>
      </c>
      <c r="E103" s="59">
        <f t="shared" si="7"/>
        <v>45803</v>
      </c>
      <c r="F103" s="59">
        <f t="shared" si="1"/>
        <v>45807</v>
      </c>
      <c r="G103" s="88">
        <f>B2</f>
        <v>1</v>
      </c>
      <c r="H103" s="57" t="s">
        <v>10</v>
      </c>
    </row>
    <row r="104" ht="18.75" customHeight="1">
      <c r="A104" s="61"/>
      <c r="B104" s="43">
        <f t="shared" si="2"/>
        <v>103</v>
      </c>
      <c r="C104" s="89" t="s">
        <v>117</v>
      </c>
      <c r="D104" s="90">
        <v>4.0</v>
      </c>
      <c r="E104" s="8">
        <f t="shared" si="7"/>
        <v>45807</v>
      </c>
      <c r="F104" s="58">
        <f t="shared" si="1"/>
        <v>45811</v>
      </c>
      <c r="G104" s="60">
        <f>B2</f>
        <v>1</v>
      </c>
      <c r="H104" s="7" t="s">
        <v>10</v>
      </c>
    </row>
    <row r="105" ht="18.75" customHeight="1">
      <c r="A105" s="61"/>
      <c r="B105" s="43">
        <f t="shared" si="2"/>
        <v>104</v>
      </c>
      <c r="C105" s="62" t="s">
        <v>118</v>
      </c>
      <c r="D105" s="90">
        <v>4.0</v>
      </c>
      <c r="E105" s="8">
        <f t="shared" si="7"/>
        <v>45811</v>
      </c>
      <c r="F105" s="58">
        <f t="shared" si="1"/>
        <v>45815</v>
      </c>
      <c r="G105" s="60">
        <f>B2</f>
        <v>1</v>
      </c>
      <c r="H105" s="7" t="s">
        <v>10</v>
      </c>
    </row>
    <row r="106" ht="18.75" customHeight="1">
      <c r="A106" s="61"/>
      <c r="B106" s="43">
        <f t="shared" si="2"/>
        <v>105</v>
      </c>
      <c r="C106" s="62" t="s">
        <v>68</v>
      </c>
      <c r="D106" s="7">
        <v>2.0</v>
      </c>
      <c r="E106" s="8">
        <f t="shared" si="7"/>
        <v>45815</v>
      </c>
      <c r="F106" s="58">
        <f t="shared" si="1"/>
        <v>45817</v>
      </c>
      <c r="G106" s="60">
        <f>B2</f>
        <v>1</v>
      </c>
      <c r="H106" s="7" t="s">
        <v>10</v>
      </c>
    </row>
    <row r="107" ht="18.75" customHeight="1">
      <c r="A107" s="61"/>
      <c r="B107" s="43">
        <f t="shared" si="2"/>
        <v>106</v>
      </c>
      <c r="C107" s="62" t="s">
        <v>66</v>
      </c>
      <c r="D107" s="7">
        <v>7.0</v>
      </c>
      <c r="E107" s="58">
        <f t="shared" si="7"/>
        <v>45817</v>
      </c>
      <c r="F107" s="58">
        <f t="shared" si="1"/>
        <v>45824</v>
      </c>
      <c r="G107" s="60">
        <f>B2</f>
        <v>1</v>
      </c>
      <c r="H107" s="7" t="s">
        <v>10</v>
      </c>
    </row>
    <row r="108" ht="18.75" customHeight="1">
      <c r="A108" s="61"/>
      <c r="B108" s="43">
        <f t="shared" si="2"/>
        <v>107</v>
      </c>
      <c r="C108" s="62" t="s">
        <v>67</v>
      </c>
      <c r="D108" s="7">
        <v>7.0</v>
      </c>
      <c r="E108" s="58">
        <f t="shared" si="7"/>
        <v>45824</v>
      </c>
      <c r="F108" s="58">
        <f t="shared" si="1"/>
        <v>45831</v>
      </c>
      <c r="G108" s="60">
        <f>B2</f>
        <v>1</v>
      </c>
      <c r="H108" s="7" t="s">
        <v>10</v>
      </c>
    </row>
    <row r="109" ht="18.75" customHeight="1">
      <c r="A109" s="15" t="s">
        <v>119</v>
      </c>
      <c r="B109" s="43">
        <f t="shared" si="2"/>
        <v>108</v>
      </c>
      <c r="C109" s="63" t="s">
        <v>120</v>
      </c>
      <c r="D109" s="17">
        <v>1.0</v>
      </c>
      <c r="E109" s="58">
        <f t="shared" si="7"/>
        <v>45831</v>
      </c>
      <c r="F109" s="8">
        <f t="shared" si="1"/>
        <v>45832</v>
      </c>
      <c r="G109" s="9">
        <f>B103</f>
        <v>102</v>
      </c>
      <c r="H109" s="7" t="s">
        <v>10</v>
      </c>
    </row>
    <row r="110" ht="18.75" customHeight="1">
      <c r="A110" s="19"/>
      <c r="B110" s="65">
        <f t="shared" si="2"/>
        <v>109</v>
      </c>
      <c r="C110" s="63" t="s">
        <v>121</v>
      </c>
      <c r="D110" s="7">
        <v>1.0</v>
      </c>
      <c r="E110" s="58">
        <f t="shared" si="7"/>
        <v>45832</v>
      </c>
      <c r="F110" s="8">
        <f t="shared" si="1"/>
        <v>45833</v>
      </c>
      <c r="G110" s="9">
        <f t="shared" ref="G110:G138" si="13">B109</f>
        <v>108</v>
      </c>
      <c r="H110" s="7" t="s">
        <v>23</v>
      </c>
    </row>
    <row r="111" ht="18.75" customHeight="1">
      <c r="A111" s="19"/>
      <c r="B111" s="65">
        <f t="shared" si="2"/>
        <v>110</v>
      </c>
      <c r="C111" s="63" t="s">
        <v>122</v>
      </c>
      <c r="D111" s="7">
        <v>1.0</v>
      </c>
      <c r="E111" s="58">
        <f t="shared" si="7"/>
        <v>45833</v>
      </c>
      <c r="F111" s="8">
        <f t="shared" si="1"/>
        <v>45834</v>
      </c>
      <c r="G111" s="9">
        <f t="shared" si="13"/>
        <v>109</v>
      </c>
      <c r="H111" s="7" t="s">
        <v>23</v>
      </c>
    </row>
    <row r="112" ht="18.75" customHeight="1">
      <c r="A112" s="18"/>
      <c r="B112" s="5">
        <f t="shared" si="2"/>
        <v>111</v>
      </c>
      <c r="C112" s="16" t="s">
        <v>123</v>
      </c>
      <c r="D112" s="7">
        <v>3.0</v>
      </c>
      <c r="E112" s="8">
        <f t="shared" si="7"/>
        <v>45834</v>
      </c>
      <c r="F112" s="8">
        <f t="shared" si="1"/>
        <v>45837</v>
      </c>
      <c r="G112" s="9">
        <f t="shared" si="13"/>
        <v>110</v>
      </c>
      <c r="H112" s="7" t="s">
        <v>23</v>
      </c>
    </row>
    <row r="113" ht="18.75" customHeight="1">
      <c r="A113" s="19"/>
      <c r="B113" s="5">
        <f t="shared" si="2"/>
        <v>112</v>
      </c>
      <c r="C113" s="16" t="s">
        <v>124</v>
      </c>
      <c r="D113" s="7">
        <v>1.0</v>
      </c>
      <c r="E113" s="8">
        <f t="shared" si="7"/>
        <v>45837</v>
      </c>
      <c r="F113" s="8">
        <f t="shared" si="1"/>
        <v>45838</v>
      </c>
      <c r="G113" s="9">
        <f t="shared" si="13"/>
        <v>111</v>
      </c>
      <c r="H113" s="7" t="s">
        <v>10</v>
      </c>
    </row>
    <row r="114" ht="18.75" customHeight="1">
      <c r="A114" s="19"/>
      <c r="B114" s="5">
        <f t="shared" si="2"/>
        <v>113</v>
      </c>
      <c r="C114" s="16" t="s">
        <v>125</v>
      </c>
      <c r="D114" s="7">
        <v>1.0</v>
      </c>
      <c r="E114" s="8">
        <f t="shared" si="7"/>
        <v>45838</v>
      </c>
      <c r="F114" s="8">
        <f t="shared" si="1"/>
        <v>45839</v>
      </c>
      <c r="G114" s="9">
        <f t="shared" si="13"/>
        <v>112</v>
      </c>
      <c r="H114" s="7" t="s">
        <v>23</v>
      </c>
    </row>
    <row r="115" ht="18.75" customHeight="1">
      <c r="A115" s="19"/>
      <c r="B115" s="5">
        <f t="shared" si="2"/>
        <v>114</v>
      </c>
      <c r="C115" s="16" t="s">
        <v>126</v>
      </c>
      <c r="D115" s="7">
        <v>1.0</v>
      </c>
      <c r="E115" s="8">
        <f t="shared" si="7"/>
        <v>45839</v>
      </c>
      <c r="F115" s="8">
        <f t="shared" si="1"/>
        <v>45840</v>
      </c>
      <c r="G115" s="9">
        <f t="shared" si="13"/>
        <v>113</v>
      </c>
      <c r="H115" s="7" t="s">
        <v>23</v>
      </c>
    </row>
    <row r="116" ht="18.75" customHeight="1">
      <c r="A116" s="19"/>
      <c r="B116" s="5">
        <f t="shared" si="2"/>
        <v>115</v>
      </c>
      <c r="C116" s="16" t="s">
        <v>29</v>
      </c>
      <c r="D116" s="7">
        <v>4.0</v>
      </c>
      <c r="E116" s="8">
        <f t="shared" si="7"/>
        <v>45840</v>
      </c>
      <c r="F116" s="8">
        <f t="shared" si="1"/>
        <v>45844</v>
      </c>
      <c r="G116" s="9">
        <f t="shared" si="13"/>
        <v>114</v>
      </c>
      <c r="H116" s="7" t="s">
        <v>23</v>
      </c>
    </row>
    <row r="117" ht="18.75" customHeight="1">
      <c r="A117" s="19"/>
      <c r="B117" s="5">
        <f t="shared" si="2"/>
        <v>116</v>
      </c>
      <c r="C117" s="20" t="s">
        <v>30</v>
      </c>
      <c r="D117" s="7">
        <v>1.0</v>
      </c>
      <c r="E117" s="8">
        <f t="shared" si="7"/>
        <v>45844</v>
      </c>
      <c r="F117" s="22">
        <f t="shared" si="1"/>
        <v>45845</v>
      </c>
      <c r="G117" s="9">
        <f t="shared" si="13"/>
        <v>115</v>
      </c>
      <c r="H117" s="7" t="s">
        <v>10</v>
      </c>
    </row>
    <row r="118" ht="18.75" customHeight="1">
      <c r="A118" s="19"/>
      <c r="B118" s="5">
        <f t="shared" si="2"/>
        <v>117</v>
      </c>
      <c r="C118" s="20" t="s">
        <v>31</v>
      </c>
      <c r="D118" s="7">
        <v>1.0</v>
      </c>
      <c r="E118" s="8">
        <f t="shared" si="7"/>
        <v>45845</v>
      </c>
      <c r="F118" s="8">
        <f t="shared" si="1"/>
        <v>45846</v>
      </c>
      <c r="G118" s="9">
        <f t="shared" si="13"/>
        <v>116</v>
      </c>
      <c r="H118" s="7" t="s">
        <v>23</v>
      </c>
    </row>
    <row r="119" ht="18.75" customHeight="1">
      <c r="A119" s="19"/>
      <c r="B119" s="5">
        <f t="shared" si="2"/>
        <v>118</v>
      </c>
      <c r="C119" s="20" t="s">
        <v>127</v>
      </c>
      <c r="D119" s="21">
        <v>10.0</v>
      </c>
      <c r="E119" s="8">
        <f t="shared" si="7"/>
        <v>45846</v>
      </c>
      <c r="F119" s="30">
        <f t="shared" si="1"/>
        <v>45856</v>
      </c>
      <c r="G119" s="9">
        <f t="shared" si="13"/>
        <v>117</v>
      </c>
      <c r="H119" s="7" t="s">
        <v>23</v>
      </c>
    </row>
    <row r="120" ht="18.75" customHeight="1">
      <c r="A120" s="19"/>
      <c r="B120" s="5">
        <f t="shared" si="2"/>
        <v>119</v>
      </c>
      <c r="C120" s="20" t="s">
        <v>33</v>
      </c>
      <c r="D120" s="7">
        <v>1.0</v>
      </c>
      <c r="E120" s="8">
        <f t="shared" si="7"/>
        <v>45856</v>
      </c>
      <c r="F120" s="91">
        <f t="shared" si="1"/>
        <v>45857</v>
      </c>
      <c r="G120" s="9">
        <f t="shared" si="13"/>
        <v>118</v>
      </c>
      <c r="H120" s="7" t="s">
        <v>10</v>
      </c>
    </row>
    <row r="121" ht="18.75" customHeight="1">
      <c r="A121" s="19"/>
      <c r="B121" s="5">
        <f t="shared" si="2"/>
        <v>120</v>
      </c>
      <c r="C121" s="20" t="s">
        <v>128</v>
      </c>
      <c r="D121" s="23">
        <v>8.0</v>
      </c>
      <c r="E121" s="8">
        <f t="shared" si="7"/>
        <v>45857</v>
      </c>
      <c r="F121" s="24">
        <f t="shared" si="1"/>
        <v>45865</v>
      </c>
      <c r="G121" s="9">
        <f t="shared" si="13"/>
        <v>119</v>
      </c>
      <c r="H121" s="7" t="s">
        <v>23</v>
      </c>
    </row>
    <row r="122" ht="18.75" customHeight="1">
      <c r="A122" s="19"/>
      <c r="B122" s="5">
        <f t="shared" si="2"/>
        <v>121</v>
      </c>
      <c r="C122" s="16" t="s">
        <v>35</v>
      </c>
      <c r="D122" s="7">
        <v>4.0</v>
      </c>
      <c r="E122" s="8">
        <f t="shared" si="7"/>
        <v>45865</v>
      </c>
      <c r="F122" s="8">
        <f t="shared" si="1"/>
        <v>45869</v>
      </c>
      <c r="G122" s="9">
        <f t="shared" si="13"/>
        <v>120</v>
      </c>
      <c r="H122" s="7" t="s">
        <v>23</v>
      </c>
    </row>
    <row r="123" ht="18.75" customHeight="1">
      <c r="A123" s="19"/>
      <c r="B123" s="5">
        <f t="shared" si="2"/>
        <v>122</v>
      </c>
      <c r="C123" s="16" t="s">
        <v>129</v>
      </c>
      <c r="D123" s="7">
        <v>1.0</v>
      </c>
      <c r="E123" s="8">
        <f t="shared" si="7"/>
        <v>45869</v>
      </c>
      <c r="F123" s="8">
        <f t="shared" si="1"/>
        <v>45870</v>
      </c>
      <c r="G123" s="9">
        <f t="shared" si="13"/>
        <v>121</v>
      </c>
      <c r="H123" s="7" t="s">
        <v>10</v>
      </c>
    </row>
    <row r="124" ht="18.75" customHeight="1">
      <c r="A124" s="19"/>
      <c r="B124" s="5">
        <f t="shared" si="2"/>
        <v>123</v>
      </c>
      <c r="C124" s="16" t="s">
        <v>130</v>
      </c>
      <c r="D124" s="7">
        <v>1.0</v>
      </c>
      <c r="E124" s="8">
        <f t="shared" si="7"/>
        <v>45870</v>
      </c>
      <c r="F124" s="8">
        <f t="shared" si="1"/>
        <v>45871</v>
      </c>
      <c r="G124" s="9">
        <f t="shared" si="13"/>
        <v>122</v>
      </c>
      <c r="H124" s="7" t="s">
        <v>23</v>
      </c>
    </row>
    <row r="125" ht="18.75" customHeight="1">
      <c r="A125" s="19"/>
      <c r="B125" s="5">
        <f t="shared" si="2"/>
        <v>124</v>
      </c>
      <c r="C125" s="16" t="s">
        <v>131</v>
      </c>
      <c r="D125" s="7">
        <v>8.0</v>
      </c>
      <c r="E125" s="8">
        <f t="shared" si="7"/>
        <v>45871</v>
      </c>
      <c r="F125" s="8">
        <f t="shared" si="1"/>
        <v>45879</v>
      </c>
      <c r="G125" s="9">
        <f t="shared" si="13"/>
        <v>123</v>
      </c>
      <c r="H125" s="7" t="s">
        <v>23</v>
      </c>
    </row>
    <row r="126" ht="18.75" customHeight="1">
      <c r="A126" s="92" t="s">
        <v>81</v>
      </c>
      <c r="B126" s="5">
        <f t="shared" si="2"/>
        <v>125</v>
      </c>
      <c r="C126" s="93" t="s">
        <v>132</v>
      </c>
      <c r="D126" s="7">
        <v>1.0</v>
      </c>
      <c r="E126" s="8">
        <f t="shared" si="7"/>
        <v>45879</v>
      </c>
      <c r="F126" s="8">
        <f t="shared" si="1"/>
        <v>45880</v>
      </c>
      <c r="G126" s="9">
        <f t="shared" si="13"/>
        <v>124</v>
      </c>
      <c r="H126" s="7" t="s">
        <v>10</v>
      </c>
    </row>
    <row r="127" ht="18.75" customHeight="1">
      <c r="A127" s="69"/>
      <c r="B127" s="5">
        <f t="shared" si="2"/>
        <v>126</v>
      </c>
      <c r="C127" s="93" t="s">
        <v>133</v>
      </c>
      <c r="D127" s="7">
        <v>1.0</v>
      </c>
      <c r="E127" s="8">
        <f t="shared" si="7"/>
        <v>45880</v>
      </c>
      <c r="F127" s="8">
        <f t="shared" si="1"/>
        <v>45881</v>
      </c>
      <c r="G127" s="9">
        <f t="shared" si="13"/>
        <v>125</v>
      </c>
      <c r="H127" s="7" t="s">
        <v>23</v>
      </c>
    </row>
    <row r="128" ht="18.75" customHeight="1">
      <c r="A128" s="69"/>
      <c r="B128" s="5">
        <f t="shared" si="2"/>
        <v>127</v>
      </c>
      <c r="C128" s="93" t="s">
        <v>134</v>
      </c>
      <c r="D128" s="7">
        <v>3.0</v>
      </c>
      <c r="E128" s="8">
        <f t="shared" si="7"/>
        <v>45881</v>
      </c>
      <c r="F128" s="8">
        <f t="shared" si="1"/>
        <v>45884</v>
      </c>
      <c r="G128" s="9">
        <f t="shared" si="13"/>
        <v>126</v>
      </c>
      <c r="H128" s="7" t="s">
        <v>23</v>
      </c>
    </row>
    <row r="129" ht="18.75" customHeight="1">
      <c r="A129" s="69"/>
      <c r="B129" s="43">
        <f t="shared" si="2"/>
        <v>128</v>
      </c>
      <c r="C129" s="29" t="s">
        <v>135</v>
      </c>
      <c r="D129" s="21">
        <v>1.0</v>
      </c>
      <c r="E129" s="8">
        <f t="shared" si="7"/>
        <v>45884</v>
      </c>
      <c r="F129" s="58">
        <f t="shared" si="1"/>
        <v>45885</v>
      </c>
      <c r="G129" s="9">
        <f t="shared" si="13"/>
        <v>127</v>
      </c>
      <c r="H129" s="7" t="s">
        <v>23</v>
      </c>
    </row>
    <row r="130" ht="18.75" customHeight="1">
      <c r="A130" s="69"/>
      <c r="B130" s="5">
        <f t="shared" si="2"/>
        <v>129</v>
      </c>
      <c r="C130" s="93" t="s">
        <v>136</v>
      </c>
      <c r="D130" s="7">
        <v>5.0</v>
      </c>
      <c r="E130" s="8">
        <f t="shared" si="7"/>
        <v>45885</v>
      </c>
      <c r="F130" s="8">
        <f t="shared" si="1"/>
        <v>45890</v>
      </c>
      <c r="G130" s="9">
        <f t="shared" si="13"/>
        <v>128</v>
      </c>
      <c r="H130" s="7" t="s">
        <v>23</v>
      </c>
    </row>
    <row r="131" ht="18.75" customHeight="1">
      <c r="A131" s="27"/>
      <c r="B131" s="5">
        <f t="shared" si="2"/>
        <v>130</v>
      </c>
      <c r="C131" s="93" t="s">
        <v>137</v>
      </c>
      <c r="D131" s="7">
        <v>1.0</v>
      </c>
      <c r="E131" s="8">
        <f t="shared" si="7"/>
        <v>45890</v>
      </c>
      <c r="F131" s="8">
        <f t="shared" si="1"/>
        <v>45891</v>
      </c>
      <c r="G131" s="9">
        <f t="shared" si="13"/>
        <v>129</v>
      </c>
      <c r="H131" s="7" t="s">
        <v>10</v>
      </c>
    </row>
    <row r="132" ht="18.75" customHeight="1">
      <c r="A132" s="27"/>
      <c r="B132" s="5">
        <f t="shared" si="2"/>
        <v>131</v>
      </c>
      <c r="C132" s="93" t="s">
        <v>138</v>
      </c>
      <c r="D132" s="7">
        <v>1.0</v>
      </c>
      <c r="E132" s="8">
        <f t="shared" si="7"/>
        <v>45891</v>
      </c>
      <c r="F132" s="8">
        <f t="shared" si="1"/>
        <v>45892</v>
      </c>
      <c r="G132" s="9">
        <f t="shared" si="13"/>
        <v>130</v>
      </c>
      <c r="H132" s="7" t="s">
        <v>23</v>
      </c>
    </row>
    <row r="133" ht="18.75" customHeight="1">
      <c r="A133" s="27"/>
      <c r="B133" s="5">
        <f t="shared" si="2"/>
        <v>132</v>
      </c>
      <c r="C133" s="93" t="s">
        <v>139</v>
      </c>
      <c r="D133" s="7">
        <v>2.0</v>
      </c>
      <c r="E133" s="8">
        <f t="shared" si="7"/>
        <v>45892</v>
      </c>
      <c r="F133" s="8">
        <f t="shared" si="1"/>
        <v>45894</v>
      </c>
      <c r="G133" s="9">
        <f t="shared" si="13"/>
        <v>131</v>
      </c>
      <c r="H133" s="7" t="s">
        <v>23</v>
      </c>
    </row>
    <row r="134" ht="18.75" customHeight="1">
      <c r="A134" s="27"/>
      <c r="B134" s="5">
        <f t="shared" si="2"/>
        <v>133</v>
      </c>
      <c r="C134" s="29" t="s">
        <v>140</v>
      </c>
      <c r="D134" s="7">
        <v>2.0</v>
      </c>
      <c r="E134" s="8">
        <f t="shared" si="7"/>
        <v>45894</v>
      </c>
      <c r="F134" s="8">
        <f t="shared" si="1"/>
        <v>45896</v>
      </c>
      <c r="G134" s="9">
        <f t="shared" si="13"/>
        <v>132</v>
      </c>
      <c r="H134" s="7" t="s">
        <v>49</v>
      </c>
    </row>
    <row r="135" ht="18.75" customHeight="1">
      <c r="A135" s="69"/>
      <c r="B135" s="5">
        <f t="shared" si="2"/>
        <v>134</v>
      </c>
      <c r="C135" s="93" t="s">
        <v>141</v>
      </c>
      <c r="D135" s="7">
        <v>1.0</v>
      </c>
      <c r="E135" s="8">
        <f t="shared" si="7"/>
        <v>45896</v>
      </c>
      <c r="F135" s="8">
        <f t="shared" si="1"/>
        <v>45897</v>
      </c>
      <c r="G135" s="9">
        <f t="shared" si="13"/>
        <v>133</v>
      </c>
      <c r="H135" s="7" t="s">
        <v>10</v>
      </c>
    </row>
    <row r="136" ht="18.75" customHeight="1">
      <c r="A136" s="27"/>
      <c r="B136" s="5">
        <f t="shared" si="2"/>
        <v>135</v>
      </c>
      <c r="C136" s="29" t="s">
        <v>142</v>
      </c>
      <c r="D136" s="7">
        <v>1.0</v>
      </c>
      <c r="E136" s="8">
        <f t="shared" si="7"/>
        <v>45897</v>
      </c>
      <c r="F136" s="8">
        <f t="shared" si="1"/>
        <v>45898</v>
      </c>
      <c r="G136" s="9">
        <f t="shared" si="13"/>
        <v>134</v>
      </c>
      <c r="H136" s="7" t="s">
        <v>23</v>
      </c>
    </row>
    <row r="137" ht="18.75" customHeight="1">
      <c r="A137" s="27"/>
      <c r="B137" s="5">
        <f t="shared" si="2"/>
        <v>136</v>
      </c>
      <c r="C137" s="93" t="s">
        <v>143</v>
      </c>
      <c r="D137" s="7">
        <v>2.0</v>
      </c>
      <c r="E137" s="8">
        <f t="shared" si="7"/>
        <v>45898</v>
      </c>
      <c r="F137" s="8">
        <f t="shared" si="1"/>
        <v>45900</v>
      </c>
      <c r="G137" s="9">
        <f t="shared" si="13"/>
        <v>135</v>
      </c>
      <c r="H137" s="7" t="s">
        <v>23</v>
      </c>
    </row>
    <row r="138" ht="18.75" customHeight="1">
      <c r="A138" s="27"/>
      <c r="B138" s="5">
        <f t="shared" si="2"/>
        <v>137</v>
      </c>
      <c r="C138" s="93" t="s">
        <v>144</v>
      </c>
      <c r="D138" s="7">
        <v>2.0</v>
      </c>
      <c r="E138" s="8">
        <f t="shared" si="7"/>
        <v>45900</v>
      </c>
      <c r="F138" s="8">
        <f t="shared" si="1"/>
        <v>45902</v>
      </c>
      <c r="G138" s="9">
        <f t="shared" si="13"/>
        <v>136</v>
      </c>
      <c r="H138" s="7" t="s">
        <v>49</v>
      </c>
    </row>
    <row r="139" ht="18.75" customHeight="1">
      <c r="A139" s="32" t="s">
        <v>145</v>
      </c>
      <c r="B139" s="5">
        <f t="shared" si="2"/>
        <v>138</v>
      </c>
      <c r="C139" s="94" t="s">
        <v>146</v>
      </c>
      <c r="D139" s="7">
        <v>2.0</v>
      </c>
      <c r="E139" s="8">
        <f>F105</f>
        <v>45815</v>
      </c>
      <c r="F139" s="8">
        <f t="shared" si="1"/>
        <v>45817</v>
      </c>
      <c r="G139" s="9">
        <f>B105</f>
        <v>104</v>
      </c>
      <c r="H139" s="7" t="s">
        <v>10</v>
      </c>
    </row>
    <row r="140" ht="18.75" customHeight="1">
      <c r="A140" s="95"/>
      <c r="B140" s="5">
        <f t="shared" si="2"/>
        <v>139</v>
      </c>
      <c r="C140" s="94" t="s">
        <v>147</v>
      </c>
      <c r="D140" s="7">
        <v>2.0</v>
      </c>
      <c r="E140" s="8">
        <f t="shared" ref="E140:E145" si="14">F139</f>
        <v>45817</v>
      </c>
      <c r="F140" s="8">
        <f t="shared" si="1"/>
        <v>45819</v>
      </c>
      <c r="G140" s="9">
        <f t="shared" ref="G140:G145" si="15">B139</f>
        <v>138</v>
      </c>
      <c r="H140" s="7" t="s">
        <v>23</v>
      </c>
    </row>
    <row r="141" ht="18.75" customHeight="1">
      <c r="A141" s="95"/>
      <c r="B141" s="5">
        <f t="shared" si="2"/>
        <v>140</v>
      </c>
      <c r="C141" s="94" t="s">
        <v>148</v>
      </c>
      <c r="D141" s="7">
        <v>2.0</v>
      </c>
      <c r="E141" s="8">
        <f t="shared" si="14"/>
        <v>45819</v>
      </c>
      <c r="F141" s="8">
        <f t="shared" si="1"/>
        <v>45821</v>
      </c>
      <c r="G141" s="9">
        <f t="shared" si="15"/>
        <v>139</v>
      </c>
      <c r="H141" s="7" t="s">
        <v>23</v>
      </c>
    </row>
    <row r="142" ht="18.75" customHeight="1">
      <c r="A142" s="95"/>
      <c r="B142" s="5">
        <f t="shared" si="2"/>
        <v>141</v>
      </c>
      <c r="C142" s="94" t="s">
        <v>149</v>
      </c>
      <c r="D142" s="7">
        <v>1.0</v>
      </c>
      <c r="E142" s="8">
        <f t="shared" si="14"/>
        <v>45821</v>
      </c>
      <c r="F142" s="8">
        <f t="shared" si="1"/>
        <v>45822</v>
      </c>
      <c r="G142" s="9">
        <f t="shared" si="15"/>
        <v>140</v>
      </c>
      <c r="H142" s="7" t="s">
        <v>23</v>
      </c>
    </row>
    <row r="143" ht="18.75" customHeight="1">
      <c r="A143" s="95"/>
      <c r="B143" s="5">
        <f t="shared" si="2"/>
        <v>142</v>
      </c>
      <c r="C143" s="94" t="s">
        <v>150</v>
      </c>
      <c r="D143" s="7">
        <v>2.0</v>
      </c>
      <c r="E143" s="8">
        <f t="shared" si="14"/>
        <v>45822</v>
      </c>
      <c r="F143" s="8">
        <f t="shared" si="1"/>
        <v>45824</v>
      </c>
      <c r="G143" s="9">
        <f t="shared" si="15"/>
        <v>141</v>
      </c>
      <c r="H143" s="7" t="s">
        <v>23</v>
      </c>
    </row>
    <row r="144" ht="18.75" customHeight="1">
      <c r="A144" s="95"/>
      <c r="B144" s="5">
        <f t="shared" si="2"/>
        <v>143</v>
      </c>
      <c r="C144" s="94" t="s">
        <v>151</v>
      </c>
      <c r="D144" s="7">
        <v>4.0</v>
      </c>
      <c r="E144" s="8">
        <f t="shared" si="14"/>
        <v>45824</v>
      </c>
      <c r="F144" s="8">
        <f t="shared" si="1"/>
        <v>45828</v>
      </c>
      <c r="G144" s="9">
        <f t="shared" si="15"/>
        <v>142</v>
      </c>
      <c r="H144" s="7" t="s">
        <v>23</v>
      </c>
    </row>
    <row r="145" ht="18.75" customHeight="1">
      <c r="A145" s="96"/>
      <c r="B145" s="5">
        <f t="shared" si="2"/>
        <v>144</v>
      </c>
      <c r="C145" s="94" t="s">
        <v>152</v>
      </c>
      <c r="D145" s="7">
        <v>2.0</v>
      </c>
      <c r="E145" s="8">
        <f t="shared" si="14"/>
        <v>45828</v>
      </c>
      <c r="F145" s="8">
        <f t="shared" si="1"/>
        <v>45830</v>
      </c>
      <c r="G145" s="9">
        <f t="shared" si="15"/>
        <v>143</v>
      </c>
      <c r="H145" s="7" t="s">
        <v>49</v>
      </c>
    </row>
    <row r="146" ht="18.75" customHeight="1">
      <c r="A146" s="72" t="s">
        <v>55</v>
      </c>
      <c r="B146" s="5">
        <f t="shared" si="2"/>
        <v>145</v>
      </c>
      <c r="C146" s="73" t="s">
        <v>153</v>
      </c>
      <c r="D146" s="7">
        <v>1.0</v>
      </c>
      <c r="E146" s="8">
        <f>F134</f>
        <v>45896</v>
      </c>
      <c r="F146" s="8">
        <f t="shared" si="1"/>
        <v>45897</v>
      </c>
      <c r="G146" s="9" t="str">
        <f>B107 &amp; "-" &amp; B134</f>
        <v>106-133</v>
      </c>
      <c r="H146" s="7" t="s">
        <v>10</v>
      </c>
    </row>
    <row r="147" ht="18.75" customHeight="1">
      <c r="A147" s="38"/>
      <c r="B147" s="5">
        <f t="shared" si="2"/>
        <v>146</v>
      </c>
      <c r="C147" s="73" t="s">
        <v>154</v>
      </c>
      <c r="D147" s="7">
        <v>2.0</v>
      </c>
      <c r="E147" s="8">
        <f t="shared" ref="E147:E153" si="16">F146</f>
        <v>45897</v>
      </c>
      <c r="F147" s="8">
        <f t="shared" si="1"/>
        <v>45899</v>
      </c>
      <c r="G147" s="9">
        <f t="shared" ref="G147:G153" si="17">B146</f>
        <v>145</v>
      </c>
      <c r="H147" s="7" t="s">
        <v>23</v>
      </c>
    </row>
    <row r="148" ht="18.75" customHeight="1">
      <c r="A148" s="38"/>
      <c r="B148" s="5">
        <f t="shared" si="2"/>
        <v>147</v>
      </c>
      <c r="C148" s="73" t="s">
        <v>155</v>
      </c>
      <c r="D148" s="7">
        <v>4.0</v>
      </c>
      <c r="E148" s="8">
        <f t="shared" si="16"/>
        <v>45899</v>
      </c>
      <c r="F148" s="8">
        <f t="shared" si="1"/>
        <v>45903</v>
      </c>
      <c r="G148" s="9">
        <f t="shared" si="17"/>
        <v>146</v>
      </c>
      <c r="H148" s="7" t="s">
        <v>23</v>
      </c>
    </row>
    <row r="149" ht="18.75" customHeight="1">
      <c r="A149" s="38"/>
      <c r="B149" s="5">
        <f t="shared" si="2"/>
        <v>148</v>
      </c>
      <c r="C149" s="73" t="s">
        <v>156</v>
      </c>
      <c r="D149" s="43">
        <v>2.0</v>
      </c>
      <c r="E149" s="8">
        <f t="shared" si="16"/>
        <v>45903</v>
      </c>
      <c r="F149" s="8">
        <f t="shared" si="1"/>
        <v>45905</v>
      </c>
      <c r="G149" s="9">
        <f t="shared" si="17"/>
        <v>147</v>
      </c>
      <c r="H149" s="7" t="s">
        <v>49</v>
      </c>
    </row>
    <row r="150" ht="18.75" customHeight="1">
      <c r="A150" s="38"/>
      <c r="B150" s="5">
        <f t="shared" si="2"/>
        <v>149</v>
      </c>
      <c r="C150" s="39" t="s">
        <v>157</v>
      </c>
      <c r="D150" s="21">
        <v>1.0</v>
      </c>
      <c r="E150" s="8">
        <f t="shared" si="16"/>
        <v>45905</v>
      </c>
      <c r="F150" s="8">
        <f t="shared" si="1"/>
        <v>45906</v>
      </c>
      <c r="G150" s="9">
        <f t="shared" si="17"/>
        <v>148</v>
      </c>
      <c r="H150" s="7" t="s">
        <v>10</v>
      </c>
    </row>
    <row r="151" ht="18.75" customHeight="1">
      <c r="A151" s="38"/>
      <c r="B151" s="5">
        <f t="shared" si="2"/>
        <v>150</v>
      </c>
      <c r="C151" s="39" t="s">
        <v>158</v>
      </c>
      <c r="D151" s="23">
        <v>2.0</v>
      </c>
      <c r="E151" s="8">
        <f t="shared" si="16"/>
        <v>45906</v>
      </c>
      <c r="F151" s="8">
        <f t="shared" si="1"/>
        <v>45908</v>
      </c>
      <c r="G151" s="9">
        <f t="shared" si="17"/>
        <v>149</v>
      </c>
      <c r="H151" s="7" t="s">
        <v>23</v>
      </c>
    </row>
    <row r="152" ht="18.75" customHeight="1">
      <c r="A152" s="38"/>
      <c r="B152" s="5">
        <f t="shared" si="2"/>
        <v>151</v>
      </c>
      <c r="C152" s="39" t="s">
        <v>159</v>
      </c>
      <c r="D152" s="21">
        <v>4.0</v>
      </c>
      <c r="E152" s="8">
        <f t="shared" si="16"/>
        <v>45908</v>
      </c>
      <c r="F152" s="8">
        <f t="shared" si="1"/>
        <v>45912</v>
      </c>
      <c r="G152" s="9">
        <f t="shared" si="17"/>
        <v>150</v>
      </c>
      <c r="H152" s="7" t="s">
        <v>23</v>
      </c>
    </row>
    <row r="153" ht="18.75" customHeight="1">
      <c r="A153" s="38"/>
      <c r="B153" s="5">
        <f t="shared" si="2"/>
        <v>152</v>
      </c>
      <c r="C153" s="73" t="s">
        <v>160</v>
      </c>
      <c r="D153" s="74">
        <v>2.0</v>
      </c>
      <c r="E153" s="8">
        <f t="shared" si="16"/>
        <v>45912</v>
      </c>
      <c r="F153" s="8">
        <f t="shared" si="1"/>
        <v>45914</v>
      </c>
      <c r="G153" s="9">
        <f t="shared" si="17"/>
        <v>151</v>
      </c>
      <c r="H153" s="7" t="s">
        <v>49</v>
      </c>
    </row>
    <row r="154" ht="18.75" customHeight="1">
      <c r="A154" s="75" t="s">
        <v>103</v>
      </c>
      <c r="B154" s="5">
        <f t="shared" si="2"/>
        <v>153</v>
      </c>
      <c r="C154" s="76" t="s">
        <v>161</v>
      </c>
      <c r="D154" s="21">
        <v>1.0</v>
      </c>
      <c r="E154" s="8">
        <f>F134</f>
        <v>45896</v>
      </c>
      <c r="F154" s="8">
        <f t="shared" si="1"/>
        <v>45897</v>
      </c>
      <c r="G154" s="9" t="str">
        <f>B106 &amp; "-" &amp; B134</f>
        <v>105-133</v>
      </c>
      <c r="H154" s="7" t="s">
        <v>10</v>
      </c>
    </row>
    <row r="155" ht="18.75" customHeight="1">
      <c r="A155" s="77"/>
      <c r="B155" s="5">
        <f t="shared" si="2"/>
        <v>154</v>
      </c>
      <c r="C155" s="76" t="s">
        <v>162</v>
      </c>
      <c r="D155" s="23">
        <v>2.0</v>
      </c>
      <c r="E155" s="8">
        <f t="shared" ref="E155:E157" si="18">F154</f>
        <v>45897</v>
      </c>
      <c r="F155" s="8">
        <f t="shared" si="1"/>
        <v>45899</v>
      </c>
      <c r="G155" s="9">
        <f t="shared" ref="G155:G157" si="19">B154</f>
        <v>153</v>
      </c>
      <c r="H155" s="7" t="s">
        <v>23</v>
      </c>
    </row>
    <row r="156" ht="18.75" customHeight="1">
      <c r="A156" s="77"/>
      <c r="B156" s="5">
        <f t="shared" si="2"/>
        <v>155</v>
      </c>
      <c r="C156" s="76" t="s">
        <v>163</v>
      </c>
      <c r="D156" s="21">
        <v>4.0</v>
      </c>
      <c r="E156" s="8">
        <f t="shared" si="18"/>
        <v>45899</v>
      </c>
      <c r="F156" s="8">
        <f t="shared" si="1"/>
        <v>45903</v>
      </c>
      <c r="G156" s="9">
        <f t="shared" si="19"/>
        <v>154</v>
      </c>
      <c r="H156" s="7" t="s">
        <v>23</v>
      </c>
    </row>
    <row r="157" ht="18.75" customHeight="1">
      <c r="A157" s="77"/>
      <c r="B157" s="5">
        <f t="shared" si="2"/>
        <v>156</v>
      </c>
      <c r="C157" s="76" t="s">
        <v>164</v>
      </c>
      <c r="D157" s="74">
        <v>2.0</v>
      </c>
      <c r="E157" s="8">
        <f t="shared" si="18"/>
        <v>45903</v>
      </c>
      <c r="F157" s="8">
        <f t="shared" si="1"/>
        <v>45905</v>
      </c>
      <c r="G157" s="9">
        <f t="shared" si="19"/>
        <v>155</v>
      </c>
      <c r="H157" s="7" t="s">
        <v>49</v>
      </c>
    </row>
    <row r="158" ht="18.75" customHeight="1">
      <c r="A158" s="97" t="s">
        <v>60</v>
      </c>
      <c r="B158" s="5">
        <f t="shared" si="2"/>
        <v>157</v>
      </c>
      <c r="C158" s="80" t="s">
        <v>165</v>
      </c>
      <c r="D158" s="21">
        <v>1.0</v>
      </c>
      <c r="E158" s="8">
        <f>F134</f>
        <v>45896</v>
      </c>
      <c r="F158" s="8">
        <f t="shared" si="1"/>
        <v>45897</v>
      </c>
      <c r="G158" s="9" t="str">
        <f>B108 &amp; "-" &amp; B134</f>
        <v>107-133</v>
      </c>
      <c r="H158" s="7" t="s">
        <v>10</v>
      </c>
    </row>
    <row r="159" ht="18.75" customHeight="1">
      <c r="A159" s="81"/>
      <c r="B159" s="5">
        <f t="shared" si="2"/>
        <v>158</v>
      </c>
      <c r="C159" s="80" t="s">
        <v>166</v>
      </c>
      <c r="D159" s="23">
        <v>2.0</v>
      </c>
      <c r="E159" s="8">
        <f t="shared" ref="E159:E161" si="20">F158</f>
        <v>45897</v>
      </c>
      <c r="F159" s="8">
        <f t="shared" si="1"/>
        <v>45899</v>
      </c>
      <c r="G159" s="9">
        <f t="shared" ref="G159:G161" si="21">B158</f>
        <v>157</v>
      </c>
      <c r="H159" s="7" t="s">
        <v>23</v>
      </c>
    </row>
    <row r="160" ht="18.75" customHeight="1">
      <c r="A160" s="81"/>
      <c r="B160" s="5">
        <f t="shared" si="2"/>
        <v>159</v>
      </c>
      <c r="C160" s="80" t="s">
        <v>167</v>
      </c>
      <c r="D160" s="21">
        <v>4.0</v>
      </c>
      <c r="E160" s="8">
        <f t="shared" si="20"/>
        <v>45899</v>
      </c>
      <c r="F160" s="8">
        <f t="shared" si="1"/>
        <v>45903</v>
      </c>
      <c r="G160" s="9">
        <f t="shared" si="21"/>
        <v>158</v>
      </c>
      <c r="H160" s="7" t="s">
        <v>23</v>
      </c>
    </row>
    <row r="161" ht="18.75" customHeight="1">
      <c r="A161" s="41"/>
      <c r="B161" s="47">
        <f t="shared" si="2"/>
        <v>160</v>
      </c>
      <c r="C161" s="82" t="s">
        <v>168</v>
      </c>
      <c r="D161" s="83">
        <v>2.0</v>
      </c>
      <c r="E161" s="8">
        <f t="shared" si="20"/>
        <v>45903</v>
      </c>
      <c r="F161" s="84">
        <f t="shared" si="1"/>
        <v>45905</v>
      </c>
      <c r="G161" s="98">
        <f t="shared" si="21"/>
        <v>159</v>
      </c>
      <c r="H161" s="7" t="s">
        <v>49</v>
      </c>
    </row>
    <row r="162" ht="18.75" customHeight="1">
      <c r="A162" s="32" t="s">
        <v>169</v>
      </c>
      <c r="B162" s="99">
        <f t="shared" si="2"/>
        <v>161</v>
      </c>
      <c r="C162" s="100" t="s">
        <v>170</v>
      </c>
      <c r="D162" s="101">
        <v>1.0</v>
      </c>
      <c r="E162" s="8">
        <f>F36</f>
        <v>45775</v>
      </c>
      <c r="F162" s="22">
        <f t="shared" si="1"/>
        <v>45776</v>
      </c>
      <c r="G162" s="102">
        <f>B36</f>
        <v>35</v>
      </c>
      <c r="H162" s="7" t="s">
        <v>10</v>
      </c>
    </row>
    <row r="163" ht="18.75" customHeight="1">
      <c r="A163" s="103"/>
      <c r="B163" s="104">
        <f t="shared" si="2"/>
        <v>162</v>
      </c>
      <c r="C163" s="105" t="s">
        <v>171</v>
      </c>
      <c r="D163" s="106">
        <v>2.0</v>
      </c>
      <c r="E163" s="8">
        <f t="shared" ref="E163:E169" si="22">F162</f>
        <v>45776</v>
      </c>
      <c r="F163" s="24">
        <f t="shared" si="1"/>
        <v>45778</v>
      </c>
      <c r="G163" s="107">
        <f t="shared" ref="G163:G165" si="23">B162</f>
        <v>161</v>
      </c>
      <c r="H163" s="7" t="s">
        <v>23</v>
      </c>
    </row>
    <row r="164" ht="18.75" customHeight="1">
      <c r="A164" s="103"/>
      <c r="B164" s="99">
        <f t="shared" si="2"/>
        <v>163</v>
      </c>
      <c r="C164" s="105" t="s">
        <v>172</v>
      </c>
      <c r="D164" s="101">
        <v>4.0</v>
      </c>
      <c r="E164" s="8">
        <f t="shared" si="22"/>
        <v>45778</v>
      </c>
      <c r="F164" s="22">
        <f t="shared" si="1"/>
        <v>45782</v>
      </c>
      <c r="G164" s="107">
        <f t="shared" si="23"/>
        <v>162</v>
      </c>
      <c r="H164" s="7" t="s">
        <v>23</v>
      </c>
    </row>
    <row r="165" ht="18.75" customHeight="1">
      <c r="A165" s="103"/>
      <c r="B165" s="104">
        <f t="shared" si="2"/>
        <v>164</v>
      </c>
      <c r="C165" s="105" t="s">
        <v>173</v>
      </c>
      <c r="D165" s="108">
        <v>2.0</v>
      </c>
      <c r="E165" s="8">
        <f t="shared" si="22"/>
        <v>45782</v>
      </c>
      <c r="F165" s="24">
        <f t="shared" si="1"/>
        <v>45784</v>
      </c>
      <c r="G165" s="107">
        <f t="shared" si="23"/>
        <v>163</v>
      </c>
      <c r="H165" s="7" t="s">
        <v>49</v>
      </c>
    </row>
    <row r="166" ht="18.75" customHeight="1">
      <c r="A166" s="109"/>
      <c r="B166" s="99">
        <f t="shared" si="2"/>
        <v>165</v>
      </c>
      <c r="C166" s="105" t="s">
        <v>174</v>
      </c>
      <c r="D166" s="101">
        <v>1.0</v>
      </c>
      <c r="E166" s="8">
        <f t="shared" si="22"/>
        <v>45784</v>
      </c>
      <c r="F166" s="22">
        <f t="shared" si="1"/>
        <v>45785</v>
      </c>
      <c r="G166" s="102">
        <f>B36</f>
        <v>35</v>
      </c>
      <c r="H166" s="7" t="s">
        <v>10</v>
      </c>
    </row>
    <row r="167" ht="18.75" customHeight="1">
      <c r="A167" s="109"/>
      <c r="B167" s="104">
        <f t="shared" si="2"/>
        <v>166</v>
      </c>
      <c r="C167" s="105" t="s">
        <v>175</v>
      </c>
      <c r="D167" s="106">
        <v>2.0</v>
      </c>
      <c r="E167" s="8">
        <f t="shared" si="22"/>
        <v>45785</v>
      </c>
      <c r="F167" s="24">
        <f t="shared" si="1"/>
        <v>45787</v>
      </c>
      <c r="G167" s="107">
        <f t="shared" ref="G167:G169" si="24">B166</f>
        <v>165</v>
      </c>
      <c r="H167" s="7" t="s">
        <v>23</v>
      </c>
    </row>
    <row r="168" ht="18.75" customHeight="1">
      <c r="A168" s="109"/>
      <c r="B168" s="99">
        <f t="shared" si="2"/>
        <v>167</v>
      </c>
      <c r="C168" s="105" t="s">
        <v>176</v>
      </c>
      <c r="D168" s="110">
        <v>1.0</v>
      </c>
      <c r="E168" s="8">
        <f t="shared" si="22"/>
        <v>45787</v>
      </c>
      <c r="F168" s="22">
        <f t="shared" si="1"/>
        <v>45788</v>
      </c>
      <c r="G168" s="107">
        <f t="shared" si="24"/>
        <v>166</v>
      </c>
      <c r="H168" s="7" t="s">
        <v>23</v>
      </c>
    </row>
    <row r="169" ht="18.75" customHeight="1">
      <c r="A169" s="111"/>
      <c r="B169" s="104">
        <f t="shared" si="2"/>
        <v>168</v>
      </c>
      <c r="C169" s="105" t="s">
        <v>177</v>
      </c>
      <c r="D169" s="108">
        <v>2.0</v>
      </c>
      <c r="E169" s="8">
        <f t="shared" si="22"/>
        <v>45788</v>
      </c>
      <c r="F169" s="24">
        <f t="shared" si="1"/>
        <v>45790</v>
      </c>
      <c r="G169" s="107">
        <f t="shared" si="24"/>
        <v>167</v>
      </c>
      <c r="H169" s="7" t="s">
        <v>49</v>
      </c>
    </row>
    <row r="170" ht="18.75" customHeight="1">
      <c r="A170" s="112" t="s">
        <v>178</v>
      </c>
      <c r="B170" s="5">
        <f t="shared" si="2"/>
        <v>169</v>
      </c>
      <c r="C170" s="113" t="s">
        <v>179</v>
      </c>
      <c r="D170" s="21">
        <v>1.0</v>
      </c>
      <c r="E170" s="8">
        <f>F134</f>
        <v>45896</v>
      </c>
      <c r="F170" s="8">
        <f t="shared" si="1"/>
        <v>45897</v>
      </c>
      <c r="G170" s="9" t="str">
        <f>B107 &amp; "-" &amp; B134</f>
        <v>106-133</v>
      </c>
      <c r="H170" s="7" t="s">
        <v>10</v>
      </c>
    </row>
    <row r="171" ht="18.75" customHeight="1">
      <c r="A171" s="114"/>
      <c r="B171" s="5">
        <f t="shared" si="2"/>
        <v>170</v>
      </c>
      <c r="C171" s="113" t="s">
        <v>180</v>
      </c>
      <c r="D171" s="115">
        <v>2.0</v>
      </c>
      <c r="E171" s="8">
        <f t="shared" ref="E171:E174" si="25">F170</f>
        <v>45897</v>
      </c>
      <c r="F171" s="8">
        <f t="shared" si="1"/>
        <v>45899</v>
      </c>
      <c r="G171" s="9">
        <f t="shared" ref="G171:G174" si="26">B170</f>
        <v>169</v>
      </c>
      <c r="H171" s="7" t="s">
        <v>23</v>
      </c>
    </row>
    <row r="172" ht="18.75" customHeight="1">
      <c r="A172" s="114"/>
      <c r="B172" s="5">
        <f t="shared" si="2"/>
        <v>171</v>
      </c>
      <c r="C172" s="113" t="s">
        <v>181</v>
      </c>
      <c r="D172" s="115">
        <v>2.0</v>
      </c>
      <c r="E172" s="8">
        <f t="shared" si="25"/>
        <v>45899</v>
      </c>
      <c r="F172" s="8">
        <f t="shared" si="1"/>
        <v>45901</v>
      </c>
      <c r="G172" s="9">
        <f t="shared" si="26"/>
        <v>170</v>
      </c>
      <c r="H172" s="7" t="s">
        <v>23</v>
      </c>
    </row>
    <row r="173" ht="18.75" customHeight="1">
      <c r="A173" s="114"/>
      <c r="B173" s="5">
        <f t="shared" si="2"/>
        <v>172</v>
      </c>
      <c r="C173" s="113" t="s">
        <v>182</v>
      </c>
      <c r="D173" s="21">
        <v>4.0</v>
      </c>
      <c r="E173" s="8">
        <f t="shared" si="25"/>
        <v>45901</v>
      </c>
      <c r="F173" s="8">
        <f t="shared" si="1"/>
        <v>45905</v>
      </c>
      <c r="G173" s="9">
        <f t="shared" si="26"/>
        <v>171</v>
      </c>
      <c r="H173" s="7" t="s">
        <v>23</v>
      </c>
    </row>
    <row r="174" ht="18.75" customHeight="1">
      <c r="A174" s="116"/>
      <c r="B174" s="117">
        <f t="shared" si="2"/>
        <v>173</v>
      </c>
      <c r="C174" s="118" t="s">
        <v>183</v>
      </c>
      <c r="D174" s="119">
        <v>2.0</v>
      </c>
      <c r="E174" s="50">
        <f t="shared" si="25"/>
        <v>45905</v>
      </c>
      <c r="F174" s="50">
        <f t="shared" si="1"/>
        <v>45907</v>
      </c>
      <c r="G174" s="52">
        <f t="shared" si="26"/>
        <v>172</v>
      </c>
      <c r="H174" s="53" t="s">
        <v>49</v>
      </c>
    </row>
    <row r="175" ht="18.75" customHeight="1">
      <c r="A175" s="85" t="s">
        <v>8</v>
      </c>
      <c r="B175" s="86">
        <f t="shared" si="2"/>
        <v>174</v>
      </c>
      <c r="C175" s="87" t="s">
        <v>184</v>
      </c>
      <c r="D175" s="57">
        <v>4.0</v>
      </c>
      <c r="E175" s="59">
        <f>F2</f>
        <v>45703</v>
      </c>
      <c r="F175" s="59">
        <f t="shared" si="1"/>
        <v>45707</v>
      </c>
      <c r="G175" s="88">
        <f>B2</f>
        <v>1</v>
      </c>
      <c r="H175" s="57" t="s">
        <v>10</v>
      </c>
    </row>
    <row r="176" ht="18.75" customHeight="1">
      <c r="A176" s="61"/>
      <c r="B176" s="43">
        <f t="shared" si="2"/>
        <v>175</v>
      </c>
      <c r="C176" s="14" t="s">
        <v>185</v>
      </c>
      <c r="D176" s="7">
        <v>4.0</v>
      </c>
      <c r="E176" s="8">
        <f>F2</f>
        <v>45703</v>
      </c>
      <c r="F176" s="58">
        <f t="shared" si="1"/>
        <v>45707</v>
      </c>
      <c r="G176" s="60">
        <f>B2</f>
        <v>1</v>
      </c>
      <c r="H176" s="7" t="s">
        <v>10</v>
      </c>
    </row>
    <row r="177" ht="18.75" customHeight="1">
      <c r="A177" s="15" t="s">
        <v>186</v>
      </c>
      <c r="B177" s="5">
        <f t="shared" si="2"/>
        <v>176</v>
      </c>
      <c r="C177" s="67" t="s">
        <v>187</v>
      </c>
      <c r="D177" s="64">
        <v>1.0</v>
      </c>
      <c r="E177" s="58">
        <f>F175</f>
        <v>45707</v>
      </c>
      <c r="F177" s="58">
        <f t="shared" si="1"/>
        <v>45708</v>
      </c>
      <c r="G177" s="70">
        <f>B175</f>
        <v>174</v>
      </c>
      <c r="H177" s="7" t="s">
        <v>10</v>
      </c>
    </row>
    <row r="178" ht="18.75" customHeight="1">
      <c r="A178" s="120"/>
      <c r="B178" s="43">
        <f t="shared" si="2"/>
        <v>177</v>
      </c>
      <c r="C178" s="67" t="s">
        <v>188</v>
      </c>
      <c r="D178" s="66">
        <v>1.0</v>
      </c>
      <c r="E178" s="58">
        <f t="shared" ref="E178:E202" si="27">F177</f>
        <v>45708</v>
      </c>
      <c r="F178" s="58">
        <f t="shared" si="1"/>
        <v>45709</v>
      </c>
      <c r="G178" s="70">
        <f t="shared" ref="G178:G202" si="28">B177</f>
        <v>176</v>
      </c>
      <c r="H178" s="7" t="s">
        <v>23</v>
      </c>
    </row>
    <row r="179" ht="18.75" customHeight="1">
      <c r="A179" s="120"/>
      <c r="B179" s="43">
        <f t="shared" si="2"/>
        <v>178</v>
      </c>
      <c r="C179" s="67" t="s">
        <v>189</v>
      </c>
      <c r="D179" s="64">
        <v>1.0</v>
      </c>
      <c r="E179" s="58">
        <f t="shared" si="27"/>
        <v>45709</v>
      </c>
      <c r="F179" s="58">
        <f t="shared" si="1"/>
        <v>45710</v>
      </c>
      <c r="G179" s="70">
        <f t="shared" si="28"/>
        <v>177</v>
      </c>
      <c r="H179" s="7" t="s">
        <v>23</v>
      </c>
    </row>
    <row r="180" ht="18.75" customHeight="1">
      <c r="A180" s="120"/>
      <c r="B180" s="43">
        <f t="shared" si="2"/>
        <v>179</v>
      </c>
      <c r="C180" s="67" t="s">
        <v>190</v>
      </c>
      <c r="D180" s="66">
        <v>3.0</v>
      </c>
      <c r="E180" s="58">
        <f t="shared" si="27"/>
        <v>45710</v>
      </c>
      <c r="F180" s="58">
        <f t="shared" si="1"/>
        <v>45713</v>
      </c>
      <c r="G180" s="70">
        <f t="shared" si="28"/>
        <v>178</v>
      </c>
      <c r="H180" s="7" t="s">
        <v>23</v>
      </c>
    </row>
    <row r="181" ht="18.75" customHeight="1">
      <c r="A181" s="120"/>
      <c r="B181" s="43">
        <f t="shared" si="2"/>
        <v>180</v>
      </c>
      <c r="C181" s="67" t="s">
        <v>191</v>
      </c>
      <c r="D181" s="64">
        <v>1.0</v>
      </c>
      <c r="E181" s="58">
        <f t="shared" si="27"/>
        <v>45713</v>
      </c>
      <c r="F181" s="58">
        <f t="shared" si="1"/>
        <v>45714</v>
      </c>
      <c r="G181" s="70">
        <f t="shared" si="28"/>
        <v>179</v>
      </c>
      <c r="H181" s="7" t="s">
        <v>10</v>
      </c>
    </row>
    <row r="182" ht="18.75" customHeight="1">
      <c r="A182" s="120"/>
      <c r="B182" s="43">
        <f t="shared" si="2"/>
        <v>181</v>
      </c>
      <c r="C182" s="67" t="s">
        <v>192</v>
      </c>
      <c r="D182" s="66">
        <v>1.0</v>
      </c>
      <c r="E182" s="58">
        <f t="shared" si="27"/>
        <v>45714</v>
      </c>
      <c r="F182" s="58">
        <f t="shared" si="1"/>
        <v>45715</v>
      </c>
      <c r="G182" s="70">
        <f t="shared" si="28"/>
        <v>180</v>
      </c>
      <c r="H182" s="7" t="s">
        <v>23</v>
      </c>
    </row>
    <row r="183" ht="18.75" customHeight="1">
      <c r="A183" s="121"/>
      <c r="B183" s="43">
        <f t="shared" si="2"/>
        <v>182</v>
      </c>
      <c r="C183" s="67" t="s">
        <v>193</v>
      </c>
      <c r="D183" s="64">
        <v>1.0</v>
      </c>
      <c r="E183" s="58">
        <f t="shared" si="27"/>
        <v>45715</v>
      </c>
      <c r="F183" s="58">
        <f t="shared" si="1"/>
        <v>45716</v>
      </c>
      <c r="G183" s="70">
        <f t="shared" si="28"/>
        <v>181</v>
      </c>
      <c r="H183" s="7" t="s">
        <v>23</v>
      </c>
    </row>
    <row r="184" ht="18.75" customHeight="1">
      <c r="A184" s="121"/>
      <c r="B184" s="43">
        <f t="shared" si="2"/>
        <v>183</v>
      </c>
      <c r="C184" s="20" t="s">
        <v>29</v>
      </c>
      <c r="D184" s="66">
        <v>4.0</v>
      </c>
      <c r="E184" s="58">
        <f t="shared" si="27"/>
        <v>45716</v>
      </c>
      <c r="F184" s="58">
        <f t="shared" si="1"/>
        <v>45720</v>
      </c>
      <c r="G184" s="70">
        <f t="shared" si="28"/>
        <v>182</v>
      </c>
      <c r="H184" s="7" t="s">
        <v>23</v>
      </c>
    </row>
    <row r="185" ht="18.75" customHeight="1">
      <c r="A185" s="121"/>
      <c r="B185" s="43">
        <f t="shared" si="2"/>
        <v>184</v>
      </c>
      <c r="C185" s="67" t="s">
        <v>30</v>
      </c>
      <c r="D185" s="64">
        <v>1.0</v>
      </c>
      <c r="E185" s="58">
        <f t="shared" si="27"/>
        <v>45720</v>
      </c>
      <c r="F185" s="58">
        <f t="shared" si="1"/>
        <v>45721</v>
      </c>
      <c r="G185" s="70">
        <f t="shared" si="28"/>
        <v>183</v>
      </c>
      <c r="H185" s="7" t="s">
        <v>10</v>
      </c>
    </row>
    <row r="186" ht="18.75" customHeight="1">
      <c r="A186" s="121"/>
      <c r="B186" s="43">
        <f t="shared" si="2"/>
        <v>185</v>
      </c>
      <c r="C186" s="67" t="s">
        <v>31</v>
      </c>
      <c r="D186" s="66">
        <v>1.0</v>
      </c>
      <c r="E186" s="58">
        <f t="shared" si="27"/>
        <v>45721</v>
      </c>
      <c r="F186" s="58">
        <f t="shared" si="1"/>
        <v>45722</v>
      </c>
      <c r="G186" s="70">
        <f t="shared" si="28"/>
        <v>184</v>
      </c>
      <c r="H186" s="7" t="s">
        <v>23</v>
      </c>
    </row>
    <row r="187" ht="18.75" customHeight="1">
      <c r="A187" s="121"/>
      <c r="B187" s="43">
        <f t="shared" si="2"/>
        <v>186</v>
      </c>
      <c r="C187" s="67" t="s">
        <v>127</v>
      </c>
      <c r="D187" s="64">
        <v>2.0</v>
      </c>
      <c r="E187" s="58">
        <f t="shared" si="27"/>
        <v>45722</v>
      </c>
      <c r="F187" s="58">
        <f t="shared" si="1"/>
        <v>45724</v>
      </c>
      <c r="G187" s="70">
        <f t="shared" si="28"/>
        <v>185</v>
      </c>
      <c r="H187" s="7" t="s">
        <v>23</v>
      </c>
    </row>
    <row r="188" ht="18.75" customHeight="1">
      <c r="A188" s="121"/>
      <c r="B188" s="43">
        <f t="shared" si="2"/>
        <v>187</v>
      </c>
      <c r="C188" s="67" t="s">
        <v>33</v>
      </c>
      <c r="D188" s="66">
        <v>1.0</v>
      </c>
      <c r="E188" s="58">
        <f t="shared" si="27"/>
        <v>45724</v>
      </c>
      <c r="F188" s="58">
        <f t="shared" si="1"/>
        <v>45725</v>
      </c>
      <c r="G188" s="70">
        <f t="shared" si="28"/>
        <v>186</v>
      </c>
      <c r="H188" s="7" t="s">
        <v>10</v>
      </c>
    </row>
    <row r="189" ht="18.75" customHeight="1">
      <c r="A189" s="121"/>
      <c r="B189" s="43">
        <f t="shared" si="2"/>
        <v>188</v>
      </c>
      <c r="C189" s="67" t="s">
        <v>128</v>
      </c>
      <c r="D189" s="64">
        <v>2.0</v>
      </c>
      <c r="E189" s="58">
        <f t="shared" si="27"/>
        <v>45725</v>
      </c>
      <c r="F189" s="58">
        <f t="shared" si="1"/>
        <v>45727</v>
      </c>
      <c r="G189" s="70">
        <f t="shared" si="28"/>
        <v>187</v>
      </c>
      <c r="H189" s="7" t="s">
        <v>23</v>
      </c>
    </row>
    <row r="190" ht="18.75" customHeight="1">
      <c r="A190" s="122"/>
      <c r="B190" s="5">
        <f t="shared" si="2"/>
        <v>189</v>
      </c>
      <c r="C190" s="20" t="s">
        <v>35</v>
      </c>
      <c r="D190" s="66">
        <v>4.0</v>
      </c>
      <c r="E190" s="58">
        <f t="shared" si="27"/>
        <v>45727</v>
      </c>
      <c r="F190" s="58">
        <f t="shared" si="1"/>
        <v>45731</v>
      </c>
      <c r="G190" s="70">
        <f t="shared" si="28"/>
        <v>188</v>
      </c>
      <c r="H190" s="7" t="s">
        <v>23</v>
      </c>
    </row>
    <row r="191" ht="18.75" customHeight="1">
      <c r="A191" s="121"/>
      <c r="B191" s="43">
        <f t="shared" si="2"/>
        <v>190</v>
      </c>
      <c r="C191" s="67" t="s">
        <v>194</v>
      </c>
      <c r="D191" s="64">
        <v>1.0</v>
      </c>
      <c r="E191" s="58">
        <f t="shared" si="27"/>
        <v>45731</v>
      </c>
      <c r="F191" s="58">
        <f t="shared" si="1"/>
        <v>45732</v>
      </c>
      <c r="G191" s="70">
        <f t="shared" si="28"/>
        <v>189</v>
      </c>
      <c r="H191" s="7" t="s">
        <v>10</v>
      </c>
    </row>
    <row r="192" ht="18.75" customHeight="1">
      <c r="A192" s="122"/>
      <c r="B192" s="5">
        <f t="shared" si="2"/>
        <v>191</v>
      </c>
      <c r="C192" s="67" t="s">
        <v>195</v>
      </c>
      <c r="D192" s="66">
        <v>1.0</v>
      </c>
      <c r="E192" s="58">
        <f t="shared" si="27"/>
        <v>45732</v>
      </c>
      <c r="F192" s="58">
        <f t="shared" si="1"/>
        <v>45733</v>
      </c>
      <c r="G192" s="70">
        <f t="shared" si="28"/>
        <v>190</v>
      </c>
      <c r="H192" s="7" t="s">
        <v>23</v>
      </c>
    </row>
    <row r="193" ht="18.75" customHeight="1">
      <c r="A193" s="123"/>
      <c r="B193" s="5">
        <f t="shared" si="2"/>
        <v>192</v>
      </c>
      <c r="C193" s="67" t="s">
        <v>196</v>
      </c>
      <c r="D193" s="64">
        <v>2.0</v>
      </c>
      <c r="E193" s="58">
        <f t="shared" si="27"/>
        <v>45733</v>
      </c>
      <c r="F193" s="58">
        <f t="shared" si="1"/>
        <v>45735</v>
      </c>
      <c r="G193" s="70">
        <f t="shared" si="28"/>
        <v>191</v>
      </c>
      <c r="H193" s="7" t="s">
        <v>23</v>
      </c>
    </row>
    <row r="194" ht="18.75" customHeight="1">
      <c r="A194" s="124" t="s">
        <v>81</v>
      </c>
      <c r="B194" s="43">
        <f t="shared" si="2"/>
        <v>193</v>
      </c>
      <c r="C194" s="125" t="s">
        <v>197</v>
      </c>
      <c r="D194" s="7">
        <v>1.0</v>
      </c>
      <c r="E194" s="58">
        <f t="shared" si="27"/>
        <v>45735</v>
      </c>
      <c r="F194" s="58">
        <f t="shared" si="1"/>
        <v>45736</v>
      </c>
      <c r="G194" s="70">
        <f t="shared" si="28"/>
        <v>192</v>
      </c>
      <c r="H194" s="7" t="s">
        <v>10</v>
      </c>
    </row>
    <row r="195" ht="18.75" customHeight="1">
      <c r="A195" s="126"/>
      <c r="B195" s="43">
        <f t="shared" si="2"/>
        <v>194</v>
      </c>
      <c r="C195" s="125" t="s">
        <v>198</v>
      </c>
      <c r="D195" s="7">
        <v>1.0</v>
      </c>
      <c r="E195" s="58">
        <f t="shared" si="27"/>
        <v>45736</v>
      </c>
      <c r="F195" s="58">
        <f t="shared" si="1"/>
        <v>45737</v>
      </c>
      <c r="G195" s="70">
        <f t="shared" si="28"/>
        <v>193</v>
      </c>
      <c r="H195" s="7" t="s">
        <v>23</v>
      </c>
    </row>
    <row r="196" ht="18.75" customHeight="1">
      <c r="A196" s="126"/>
      <c r="B196" s="43">
        <f t="shared" si="2"/>
        <v>195</v>
      </c>
      <c r="C196" s="125" t="s">
        <v>199</v>
      </c>
      <c r="D196" s="7">
        <v>3.0</v>
      </c>
      <c r="E196" s="58">
        <f t="shared" si="27"/>
        <v>45737</v>
      </c>
      <c r="F196" s="58">
        <f t="shared" si="1"/>
        <v>45740</v>
      </c>
      <c r="G196" s="70">
        <f t="shared" si="28"/>
        <v>194</v>
      </c>
      <c r="H196" s="7" t="s">
        <v>23</v>
      </c>
    </row>
    <row r="197" ht="18.75" customHeight="1">
      <c r="A197" s="126"/>
      <c r="B197" s="43">
        <f t="shared" si="2"/>
        <v>196</v>
      </c>
      <c r="C197" s="125" t="s">
        <v>200</v>
      </c>
      <c r="D197" s="21">
        <v>1.0</v>
      </c>
      <c r="E197" s="58">
        <f t="shared" si="27"/>
        <v>45740</v>
      </c>
      <c r="F197" s="58">
        <f t="shared" si="1"/>
        <v>45741</v>
      </c>
      <c r="G197" s="70">
        <f t="shared" si="28"/>
        <v>195</v>
      </c>
      <c r="H197" s="7" t="s">
        <v>23</v>
      </c>
    </row>
    <row r="198" ht="18.75" customHeight="1">
      <c r="A198" s="126"/>
      <c r="B198" s="43">
        <f t="shared" si="2"/>
        <v>197</v>
      </c>
      <c r="C198" s="125" t="s">
        <v>201</v>
      </c>
      <c r="D198" s="7">
        <v>5.0</v>
      </c>
      <c r="E198" s="58">
        <f t="shared" si="27"/>
        <v>45741</v>
      </c>
      <c r="F198" s="58">
        <f t="shared" si="1"/>
        <v>45746</v>
      </c>
      <c r="G198" s="70">
        <f t="shared" si="28"/>
        <v>196</v>
      </c>
      <c r="H198" s="7" t="s">
        <v>23</v>
      </c>
    </row>
    <row r="199" ht="18.75" customHeight="1">
      <c r="A199" s="126"/>
      <c r="B199" s="43">
        <f t="shared" si="2"/>
        <v>198</v>
      </c>
      <c r="C199" s="125" t="s">
        <v>202</v>
      </c>
      <c r="D199" s="7">
        <v>1.0</v>
      </c>
      <c r="E199" s="58">
        <f t="shared" si="27"/>
        <v>45746</v>
      </c>
      <c r="F199" s="58">
        <f t="shared" si="1"/>
        <v>45747</v>
      </c>
      <c r="G199" s="70">
        <f t="shared" si="28"/>
        <v>197</v>
      </c>
      <c r="H199" s="7" t="s">
        <v>10</v>
      </c>
    </row>
    <row r="200" ht="18.75" customHeight="1">
      <c r="A200" s="126"/>
      <c r="B200" s="43">
        <f t="shared" si="2"/>
        <v>199</v>
      </c>
      <c r="C200" s="125" t="s">
        <v>203</v>
      </c>
      <c r="D200" s="7">
        <v>1.0</v>
      </c>
      <c r="E200" s="58">
        <f t="shared" si="27"/>
        <v>45747</v>
      </c>
      <c r="F200" s="58">
        <f t="shared" si="1"/>
        <v>45748</v>
      </c>
      <c r="G200" s="70">
        <f t="shared" si="28"/>
        <v>198</v>
      </c>
      <c r="H200" s="7" t="s">
        <v>23</v>
      </c>
    </row>
    <row r="201" ht="18.75" customHeight="1">
      <c r="A201" s="126"/>
      <c r="B201" s="43">
        <f t="shared" si="2"/>
        <v>200</v>
      </c>
      <c r="C201" s="125" t="s">
        <v>204</v>
      </c>
      <c r="D201" s="7">
        <v>2.0</v>
      </c>
      <c r="E201" s="58">
        <f t="shared" si="27"/>
        <v>45748</v>
      </c>
      <c r="F201" s="58">
        <f t="shared" si="1"/>
        <v>45750</v>
      </c>
      <c r="G201" s="70">
        <f t="shared" si="28"/>
        <v>199</v>
      </c>
      <c r="H201" s="7" t="s">
        <v>23</v>
      </c>
    </row>
    <row r="202" ht="18.75" customHeight="1">
      <c r="A202" s="126"/>
      <c r="B202" s="43">
        <f t="shared" si="2"/>
        <v>201</v>
      </c>
      <c r="C202" s="127" t="s">
        <v>205</v>
      </c>
      <c r="D202" s="7">
        <v>5.0</v>
      </c>
      <c r="E202" s="58">
        <f t="shared" si="27"/>
        <v>45750</v>
      </c>
      <c r="F202" s="58">
        <f t="shared" si="1"/>
        <v>45755</v>
      </c>
      <c r="G202" s="70">
        <f t="shared" si="28"/>
        <v>200</v>
      </c>
      <c r="H202" s="7" t="s">
        <v>23</v>
      </c>
    </row>
    <row r="203" ht="18.75" customHeight="1">
      <c r="A203" s="36" t="s">
        <v>206</v>
      </c>
      <c r="B203" s="5">
        <f t="shared" si="2"/>
        <v>202</v>
      </c>
      <c r="C203" s="73" t="s">
        <v>207</v>
      </c>
      <c r="D203" s="17">
        <v>1.0</v>
      </c>
      <c r="E203" s="58">
        <f>F198</f>
        <v>45746</v>
      </c>
      <c r="F203" s="58">
        <f t="shared" si="1"/>
        <v>45747</v>
      </c>
      <c r="G203" s="70" t="str">
        <f>B82 &amp; "-" &amp; B198</f>
        <v>81-197</v>
      </c>
      <c r="H203" s="7" t="s">
        <v>10</v>
      </c>
    </row>
    <row r="204" ht="18.75" customHeight="1">
      <c r="A204" s="128"/>
      <c r="B204" s="43">
        <f t="shared" si="2"/>
        <v>203</v>
      </c>
      <c r="C204" s="73" t="s">
        <v>208</v>
      </c>
      <c r="D204" s="7">
        <v>1.0</v>
      </c>
      <c r="E204" s="58">
        <f t="shared" ref="E204:E206" si="29">F203</f>
        <v>45747</v>
      </c>
      <c r="F204" s="58">
        <f t="shared" si="1"/>
        <v>45748</v>
      </c>
      <c r="G204" s="70">
        <f t="shared" ref="G204:G206" si="30">B203</f>
        <v>202</v>
      </c>
      <c r="H204" s="7" t="s">
        <v>23</v>
      </c>
    </row>
    <row r="205" ht="18.75" customHeight="1">
      <c r="A205" s="128"/>
      <c r="B205" s="43">
        <f t="shared" si="2"/>
        <v>204</v>
      </c>
      <c r="C205" s="73" t="s">
        <v>209</v>
      </c>
      <c r="D205" s="7">
        <v>2.0</v>
      </c>
      <c r="E205" s="58">
        <f t="shared" si="29"/>
        <v>45748</v>
      </c>
      <c r="F205" s="58">
        <f t="shared" si="1"/>
        <v>45750</v>
      </c>
      <c r="G205" s="70">
        <f t="shared" si="30"/>
        <v>203</v>
      </c>
      <c r="H205" s="7" t="s">
        <v>23</v>
      </c>
    </row>
    <row r="206" ht="18.75" customHeight="1">
      <c r="A206" s="128"/>
      <c r="B206" s="43">
        <f t="shared" si="2"/>
        <v>205</v>
      </c>
      <c r="C206" s="39" t="s">
        <v>210</v>
      </c>
      <c r="D206" s="7">
        <v>2.0</v>
      </c>
      <c r="E206" s="58">
        <f t="shared" si="29"/>
        <v>45750</v>
      </c>
      <c r="F206" s="58">
        <f t="shared" si="1"/>
        <v>45752</v>
      </c>
      <c r="G206" s="70">
        <f t="shared" si="30"/>
        <v>204</v>
      </c>
      <c r="H206" s="7" t="s">
        <v>49</v>
      </c>
    </row>
    <row r="207" ht="18.75" customHeight="1">
      <c r="A207" s="129" t="s">
        <v>211</v>
      </c>
      <c r="B207" s="43">
        <f t="shared" si="2"/>
        <v>206</v>
      </c>
      <c r="C207" s="37" t="s">
        <v>212</v>
      </c>
      <c r="D207" s="17">
        <v>1.0</v>
      </c>
      <c r="E207" s="58">
        <f>F198</f>
        <v>45746</v>
      </c>
      <c r="F207" s="58">
        <f t="shared" si="1"/>
        <v>45747</v>
      </c>
      <c r="G207" s="70" t="str">
        <f>B36 &amp; "-" &amp; B198</f>
        <v>35-197</v>
      </c>
      <c r="H207" s="7" t="s">
        <v>10</v>
      </c>
    </row>
    <row r="208" ht="18.75" customHeight="1">
      <c r="A208" s="128"/>
      <c r="B208" s="43">
        <f t="shared" si="2"/>
        <v>207</v>
      </c>
      <c r="C208" s="39" t="s">
        <v>213</v>
      </c>
      <c r="D208" s="7">
        <v>1.0</v>
      </c>
      <c r="E208" s="58">
        <f t="shared" ref="E208:E210" si="31">F207</f>
        <v>45747</v>
      </c>
      <c r="F208" s="58">
        <f t="shared" si="1"/>
        <v>45748</v>
      </c>
      <c r="G208" s="70">
        <f t="shared" ref="G208:G210" si="32">B207</f>
        <v>206</v>
      </c>
      <c r="H208" s="7" t="s">
        <v>23</v>
      </c>
    </row>
    <row r="209" ht="18.75" customHeight="1">
      <c r="A209" s="130"/>
      <c r="B209" s="43">
        <f t="shared" si="2"/>
        <v>208</v>
      </c>
      <c r="C209" s="39" t="s">
        <v>214</v>
      </c>
      <c r="D209" s="7">
        <v>2.0</v>
      </c>
      <c r="E209" s="58">
        <f t="shared" si="31"/>
        <v>45748</v>
      </c>
      <c r="F209" s="58">
        <f t="shared" si="1"/>
        <v>45750</v>
      </c>
      <c r="G209" s="70">
        <f t="shared" si="32"/>
        <v>207</v>
      </c>
      <c r="H209" s="7" t="s">
        <v>23</v>
      </c>
    </row>
    <row r="210" ht="18.75" customHeight="1">
      <c r="A210" s="130"/>
      <c r="B210" s="5">
        <f t="shared" si="2"/>
        <v>209</v>
      </c>
      <c r="C210" s="39" t="s">
        <v>215</v>
      </c>
      <c r="D210" s="7">
        <v>2.0</v>
      </c>
      <c r="E210" s="58">
        <f t="shared" si="31"/>
        <v>45750</v>
      </c>
      <c r="F210" s="58">
        <f t="shared" si="1"/>
        <v>45752</v>
      </c>
      <c r="G210" s="70">
        <f t="shared" si="32"/>
        <v>208</v>
      </c>
      <c r="H210" s="7" t="s">
        <v>49</v>
      </c>
    </row>
    <row r="211" ht="18.75" customHeight="1">
      <c r="A211" s="75" t="s">
        <v>216</v>
      </c>
      <c r="B211" s="5">
        <f t="shared" si="2"/>
        <v>210</v>
      </c>
      <c r="C211" s="78" t="s">
        <v>217</v>
      </c>
      <c r="D211" s="17">
        <v>1.0</v>
      </c>
      <c r="E211" s="58">
        <f>F206</f>
        <v>45752</v>
      </c>
      <c r="F211" s="58">
        <f t="shared" si="1"/>
        <v>45753</v>
      </c>
      <c r="G211" s="70" t="str">
        <f>B209 &amp; "-" &amp; B206</f>
        <v>208-205</v>
      </c>
      <c r="H211" s="7" t="s">
        <v>10</v>
      </c>
    </row>
    <row r="212" ht="18.75" customHeight="1">
      <c r="A212" s="131"/>
      <c r="B212" s="43">
        <f t="shared" si="2"/>
        <v>211</v>
      </c>
      <c r="C212" s="78" t="s">
        <v>218</v>
      </c>
      <c r="D212" s="7">
        <v>1.0</v>
      </c>
      <c r="E212" s="58">
        <f t="shared" ref="E212:E226" si="33">F211</f>
        <v>45753</v>
      </c>
      <c r="F212" s="58">
        <f t="shared" si="1"/>
        <v>45754</v>
      </c>
      <c r="G212" s="70">
        <f t="shared" ref="G212:G218" si="34">B211</f>
        <v>210</v>
      </c>
      <c r="H212" s="7" t="s">
        <v>23</v>
      </c>
    </row>
    <row r="213" ht="18.75" customHeight="1">
      <c r="A213" s="131"/>
      <c r="B213" s="43">
        <f t="shared" si="2"/>
        <v>212</v>
      </c>
      <c r="C213" s="78" t="s">
        <v>219</v>
      </c>
      <c r="D213" s="7">
        <v>2.0</v>
      </c>
      <c r="E213" s="58">
        <f t="shared" si="33"/>
        <v>45754</v>
      </c>
      <c r="F213" s="58">
        <f t="shared" si="1"/>
        <v>45756</v>
      </c>
      <c r="G213" s="70">
        <f t="shared" si="34"/>
        <v>211</v>
      </c>
      <c r="H213" s="7" t="s">
        <v>23</v>
      </c>
    </row>
    <row r="214" ht="18.75" customHeight="1">
      <c r="A214" s="132"/>
      <c r="B214" s="43">
        <f t="shared" si="2"/>
        <v>213</v>
      </c>
      <c r="C214" s="133" t="s">
        <v>220</v>
      </c>
      <c r="D214" s="7">
        <v>2.0</v>
      </c>
      <c r="E214" s="58">
        <f t="shared" si="33"/>
        <v>45756</v>
      </c>
      <c r="F214" s="58">
        <f t="shared" si="1"/>
        <v>45758</v>
      </c>
      <c r="G214" s="70">
        <f t="shared" si="34"/>
        <v>212</v>
      </c>
      <c r="H214" s="110" t="s">
        <v>49</v>
      </c>
    </row>
    <row r="215" ht="18.75" customHeight="1">
      <c r="A215" s="32" t="s">
        <v>221</v>
      </c>
      <c r="B215" s="43">
        <f t="shared" si="2"/>
        <v>214</v>
      </c>
      <c r="C215" s="94" t="s">
        <v>222</v>
      </c>
      <c r="D215" s="17">
        <v>1.0</v>
      </c>
      <c r="E215" s="58">
        <f t="shared" si="33"/>
        <v>45758</v>
      </c>
      <c r="F215" s="58">
        <f t="shared" si="1"/>
        <v>45759</v>
      </c>
      <c r="G215" s="70">
        <f t="shared" si="34"/>
        <v>213</v>
      </c>
      <c r="H215" s="7" t="s">
        <v>10</v>
      </c>
    </row>
    <row r="216" ht="18.75" customHeight="1">
      <c r="A216" s="134"/>
      <c r="B216" s="43">
        <f t="shared" si="2"/>
        <v>215</v>
      </c>
      <c r="C216" s="94" t="s">
        <v>223</v>
      </c>
      <c r="D216" s="7">
        <v>1.0</v>
      </c>
      <c r="E216" s="58">
        <f t="shared" si="33"/>
        <v>45759</v>
      </c>
      <c r="F216" s="58">
        <f t="shared" si="1"/>
        <v>45760</v>
      </c>
      <c r="G216" s="70">
        <f t="shared" si="34"/>
        <v>214</v>
      </c>
      <c r="H216" s="7" t="s">
        <v>23</v>
      </c>
    </row>
    <row r="217" ht="18.75" customHeight="1">
      <c r="A217" s="134"/>
      <c r="B217" s="43">
        <f t="shared" si="2"/>
        <v>216</v>
      </c>
      <c r="C217" s="94" t="s">
        <v>224</v>
      </c>
      <c r="D217" s="7">
        <v>2.0</v>
      </c>
      <c r="E217" s="58">
        <f t="shared" si="33"/>
        <v>45760</v>
      </c>
      <c r="F217" s="58">
        <f t="shared" si="1"/>
        <v>45762</v>
      </c>
      <c r="G217" s="70">
        <f t="shared" si="34"/>
        <v>215</v>
      </c>
      <c r="H217" s="7" t="s">
        <v>23</v>
      </c>
    </row>
    <row r="218" ht="18.75" customHeight="1">
      <c r="A218" s="134"/>
      <c r="B218" s="43">
        <f t="shared" si="2"/>
        <v>217</v>
      </c>
      <c r="C218" s="94" t="s">
        <v>225</v>
      </c>
      <c r="D218" s="7">
        <v>2.0</v>
      </c>
      <c r="E218" s="58">
        <f t="shared" si="33"/>
        <v>45762</v>
      </c>
      <c r="F218" s="58">
        <f t="shared" si="1"/>
        <v>45764</v>
      </c>
      <c r="G218" s="70">
        <f t="shared" si="34"/>
        <v>216</v>
      </c>
      <c r="H218" s="110" t="s">
        <v>49</v>
      </c>
    </row>
    <row r="219" ht="18.75" customHeight="1">
      <c r="A219" s="92" t="s">
        <v>226</v>
      </c>
      <c r="B219" s="43">
        <f t="shared" si="2"/>
        <v>218</v>
      </c>
      <c r="C219" s="135" t="s">
        <v>227</v>
      </c>
      <c r="D219" s="17">
        <v>1.0</v>
      </c>
      <c r="E219" s="58">
        <f t="shared" si="33"/>
        <v>45764</v>
      </c>
      <c r="F219" s="58">
        <f t="shared" si="1"/>
        <v>45765</v>
      </c>
      <c r="G219" s="70">
        <f>B214</f>
        <v>213</v>
      </c>
      <c r="H219" s="7" t="s">
        <v>10</v>
      </c>
    </row>
    <row r="220" ht="18.75" customHeight="1">
      <c r="A220" s="136"/>
      <c r="B220" s="43">
        <f t="shared" si="2"/>
        <v>219</v>
      </c>
      <c r="C220" s="135" t="s">
        <v>228</v>
      </c>
      <c r="D220" s="7">
        <v>1.0</v>
      </c>
      <c r="E220" s="58">
        <f t="shared" si="33"/>
        <v>45765</v>
      </c>
      <c r="F220" s="58">
        <f t="shared" si="1"/>
        <v>45766</v>
      </c>
      <c r="G220" s="70">
        <f t="shared" ref="G220:G226" si="35">B219</f>
        <v>218</v>
      </c>
      <c r="H220" s="7" t="s">
        <v>23</v>
      </c>
    </row>
    <row r="221" ht="18.75" customHeight="1">
      <c r="A221" s="136"/>
      <c r="B221" s="43">
        <f t="shared" si="2"/>
        <v>220</v>
      </c>
      <c r="C221" s="135" t="s">
        <v>229</v>
      </c>
      <c r="D221" s="7">
        <v>2.0</v>
      </c>
      <c r="E221" s="58">
        <f t="shared" si="33"/>
        <v>45766</v>
      </c>
      <c r="F221" s="58">
        <f t="shared" si="1"/>
        <v>45768</v>
      </c>
      <c r="G221" s="70">
        <f t="shared" si="35"/>
        <v>219</v>
      </c>
      <c r="H221" s="7" t="s">
        <v>23</v>
      </c>
    </row>
    <row r="222" ht="18.75" customHeight="1">
      <c r="A222" s="137"/>
      <c r="B222" s="74">
        <f t="shared" si="2"/>
        <v>221</v>
      </c>
      <c r="C222" s="138" t="s">
        <v>230</v>
      </c>
      <c r="D222" s="7">
        <v>2.0</v>
      </c>
      <c r="E222" s="58">
        <f t="shared" si="33"/>
        <v>45768</v>
      </c>
      <c r="F222" s="58">
        <f t="shared" si="1"/>
        <v>45770</v>
      </c>
      <c r="G222" s="70">
        <f t="shared" si="35"/>
        <v>220</v>
      </c>
      <c r="H222" s="110" t="s">
        <v>49</v>
      </c>
    </row>
    <row r="223" ht="18.75" customHeight="1">
      <c r="A223" s="112" t="s">
        <v>231</v>
      </c>
      <c r="B223" s="28">
        <f t="shared" si="2"/>
        <v>222</v>
      </c>
      <c r="C223" s="139" t="s">
        <v>232</v>
      </c>
      <c r="D223" s="7">
        <v>1.0</v>
      </c>
      <c r="E223" s="58">
        <f t="shared" si="33"/>
        <v>45770</v>
      </c>
      <c r="F223" s="8">
        <f t="shared" si="1"/>
        <v>45771</v>
      </c>
      <c r="G223" s="70">
        <f t="shared" si="35"/>
        <v>221</v>
      </c>
      <c r="H223" s="7" t="s">
        <v>10</v>
      </c>
    </row>
    <row r="224" ht="18.75" customHeight="1">
      <c r="A224" s="140"/>
      <c r="B224" s="74">
        <f t="shared" si="2"/>
        <v>223</v>
      </c>
      <c r="C224" s="139" t="s">
        <v>233</v>
      </c>
      <c r="D224" s="7">
        <v>1.0</v>
      </c>
      <c r="E224" s="58">
        <f t="shared" si="33"/>
        <v>45771</v>
      </c>
      <c r="F224" s="8">
        <f t="shared" si="1"/>
        <v>45772</v>
      </c>
      <c r="G224" s="70">
        <f t="shared" si="35"/>
        <v>222</v>
      </c>
      <c r="H224" s="7" t="s">
        <v>23</v>
      </c>
    </row>
    <row r="225" ht="18.75" customHeight="1">
      <c r="A225" s="141"/>
      <c r="B225" s="108">
        <f t="shared" si="2"/>
        <v>224</v>
      </c>
      <c r="C225" s="139" t="s">
        <v>234</v>
      </c>
      <c r="D225" s="7">
        <v>2.0</v>
      </c>
      <c r="E225" s="58">
        <f t="shared" si="33"/>
        <v>45772</v>
      </c>
      <c r="F225" s="8">
        <f t="shared" si="1"/>
        <v>45774</v>
      </c>
      <c r="G225" s="70">
        <f t="shared" si="35"/>
        <v>223</v>
      </c>
      <c r="H225" s="7" t="s">
        <v>23</v>
      </c>
    </row>
    <row r="226" ht="18.75" customHeight="1">
      <c r="A226" s="141"/>
      <c r="B226" s="142">
        <f t="shared" si="2"/>
        <v>225</v>
      </c>
      <c r="C226" s="139" t="s">
        <v>235</v>
      </c>
      <c r="D226" s="17">
        <v>2.0</v>
      </c>
      <c r="E226" s="58">
        <f t="shared" si="33"/>
        <v>45774</v>
      </c>
      <c r="F226" s="8">
        <f t="shared" si="1"/>
        <v>45776</v>
      </c>
      <c r="G226" s="70">
        <f t="shared" si="35"/>
        <v>224</v>
      </c>
      <c r="H226" s="110" t="s">
        <v>49</v>
      </c>
    </row>
    <row r="227" ht="18.75" customHeight="1">
      <c r="A227" s="143" t="s">
        <v>236</v>
      </c>
      <c r="B227" s="142">
        <f t="shared" si="2"/>
        <v>226</v>
      </c>
      <c r="C227" s="144" t="s">
        <v>237</v>
      </c>
      <c r="D227" s="21">
        <v>1.0</v>
      </c>
      <c r="E227" s="22">
        <f>F214</f>
        <v>45758</v>
      </c>
      <c r="F227" s="22">
        <f t="shared" si="1"/>
        <v>45759</v>
      </c>
      <c r="G227" s="142" t="str">
        <f>B176 &amp; "-" &amp; B214</f>
        <v>175-213</v>
      </c>
      <c r="H227" s="7" t="s">
        <v>10</v>
      </c>
    </row>
    <row r="228" ht="18.75" customHeight="1">
      <c r="A228" s="145"/>
      <c r="B228" s="108">
        <f t="shared" si="2"/>
        <v>227</v>
      </c>
      <c r="C228" s="144" t="s">
        <v>238</v>
      </c>
      <c r="D228" s="115">
        <v>1.0</v>
      </c>
      <c r="E228" s="24">
        <f t="shared" ref="E228:E229" si="36">F227</f>
        <v>45759</v>
      </c>
      <c r="F228" s="24">
        <f t="shared" si="1"/>
        <v>45760</v>
      </c>
      <c r="G228" s="108">
        <f t="shared" ref="G228:G230" si="37">B227</f>
        <v>226</v>
      </c>
      <c r="H228" s="7" t="s">
        <v>23</v>
      </c>
    </row>
    <row r="229" ht="18.75" customHeight="1">
      <c r="A229" s="145"/>
      <c r="B229" s="142">
        <f t="shared" si="2"/>
        <v>228</v>
      </c>
      <c r="C229" s="144" t="s">
        <v>239</v>
      </c>
      <c r="D229" s="21">
        <v>2.0</v>
      </c>
      <c r="E229" s="22">
        <f t="shared" si="36"/>
        <v>45760</v>
      </c>
      <c r="F229" s="22">
        <f t="shared" si="1"/>
        <v>45762</v>
      </c>
      <c r="G229" s="142">
        <f t="shared" si="37"/>
        <v>227</v>
      </c>
      <c r="H229" s="7" t="s">
        <v>23</v>
      </c>
    </row>
    <row r="230" ht="18.75" customHeight="1">
      <c r="A230" s="145"/>
      <c r="B230" s="108">
        <f t="shared" si="2"/>
        <v>229</v>
      </c>
      <c r="C230" s="144" t="s">
        <v>240</v>
      </c>
      <c r="D230" s="115">
        <v>2.0</v>
      </c>
      <c r="E230" s="24">
        <f>F222</f>
        <v>45770</v>
      </c>
      <c r="F230" s="24">
        <f t="shared" si="1"/>
        <v>45772</v>
      </c>
      <c r="G230" s="142">
        <f t="shared" si="37"/>
        <v>228</v>
      </c>
      <c r="H230" s="110" t="s">
        <v>49</v>
      </c>
    </row>
    <row r="231" ht="18.75" customHeight="1">
      <c r="A231" s="146" t="s">
        <v>241</v>
      </c>
      <c r="B231" s="142">
        <f t="shared" si="2"/>
        <v>230</v>
      </c>
      <c r="C231" s="94" t="s">
        <v>242</v>
      </c>
      <c r="D231" s="21">
        <v>1.0</v>
      </c>
      <c r="E231" s="22">
        <f>F218</f>
        <v>45764</v>
      </c>
      <c r="F231" s="22">
        <f t="shared" si="1"/>
        <v>45765</v>
      </c>
      <c r="G231" s="142" t="str">
        <f>B176 &amp; "-" &amp;B218</f>
        <v>175-217</v>
      </c>
      <c r="H231" s="7" t="s">
        <v>10</v>
      </c>
    </row>
    <row r="232" ht="18.75" customHeight="1">
      <c r="A232" s="147"/>
      <c r="B232" s="108">
        <f t="shared" si="2"/>
        <v>231</v>
      </c>
      <c r="C232" s="94" t="s">
        <v>243</v>
      </c>
      <c r="D232" s="115">
        <v>1.0</v>
      </c>
      <c r="E232" s="24">
        <f t="shared" ref="E232:E234" si="38">F231</f>
        <v>45765</v>
      </c>
      <c r="F232" s="24">
        <f t="shared" si="1"/>
        <v>45766</v>
      </c>
      <c r="G232" s="108">
        <f t="shared" ref="G232:G234" si="39">B231</f>
        <v>230</v>
      </c>
      <c r="H232" s="7" t="s">
        <v>23</v>
      </c>
    </row>
    <row r="233" ht="18.75" customHeight="1">
      <c r="A233" s="147"/>
      <c r="B233" s="142">
        <f t="shared" si="2"/>
        <v>232</v>
      </c>
      <c r="C233" s="94" t="s">
        <v>244</v>
      </c>
      <c r="D233" s="21">
        <v>2.0</v>
      </c>
      <c r="E233" s="22">
        <f t="shared" si="38"/>
        <v>45766</v>
      </c>
      <c r="F233" s="22">
        <f>E233+D234</f>
        <v>45768</v>
      </c>
      <c r="G233" s="142">
        <f t="shared" si="39"/>
        <v>231</v>
      </c>
      <c r="H233" s="7" t="s">
        <v>23</v>
      </c>
    </row>
    <row r="234" ht="18.75" customHeight="1">
      <c r="A234" s="147"/>
      <c r="B234" s="108">
        <f t="shared" si="2"/>
        <v>233</v>
      </c>
      <c r="C234" s="94" t="s">
        <v>245</v>
      </c>
      <c r="D234" s="21">
        <v>2.0</v>
      </c>
      <c r="E234" s="24">
        <f t="shared" si="38"/>
        <v>45768</v>
      </c>
      <c r="F234" s="24">
        <f t="shared" ref="F234:F1422" si="40">E234+D234</f>
        <v>45770</v>
      </c>
      <c r="G234" s="142">
        <f t="shared" si="39"/>
        <v>232</v>
      </c>
      <c r="H234" s="110" t="s">
        <v>49</v>
      </c>
    </row>
    <row r="235" ht="18.75" customHeight="1">
      <c r="A235" s="148" t="s">
        <v>246</v>
      </c>
      <c r="B235" s="142">
        <f t="shared" si="2"/>
        <v>234</v>
      </c>
      <c r="C235" s="149" t="s">
        <v>247</v>
      </c>
      <c r="D235" s="21">
        <v>1.0</v>
      </c>
      <c r="E235" s="22">
        <f>F226</f>
        <v>45776</v>
      </c>
      <c r="F235" s="22">
        <f t="shared" si="40"/>
        <v>45777</v>
      </c>
      <c r="G235" s="142" t="str">
        <f>B176 &amp; "-" &amp;B226</f>
        <v>175-225</v>
      </c>
      <c r="H235" s="7" t="s">
        <v>10</v>
      </c>
    </row>
    <row r="236" ht="18.75" customHeight="1">
      <c r="A236" s="150"/>
      <c r="B236" s="108">
        <f t="shared" si="2"/>
        <v>235</v>
      </c>
      <c r="C236" s="149" t="s">
        <v>248</v>
      </c>
      <c r="D236" s="115">
        <v>1.0</v>
      </c>
      <c r="E236" s="24">
        <f t="shared" ref="E236:E238" si="41">F235</f>
        <v>45777</v>
      </c>
      <c r="F236" s="24">
        <f t="shared" si="40"/>
        <v>45778</v>
      </c>
      <c r="G236" s="108">
        <f t="shared" ref="G236:G238" si="42">B235</f>
        <v>234</v>
      </c>
      <c r="H236" s="7" t="s">
        <v>23</v>
      </c>
    </row>
    <row r="237" ht="18.75" customHeight="1">
      <c r="A237" s="150"/>
      <c r="B237" s="142">
        <f t="shared" si="2"/>
        <v>236</v>
      </c>
      <c r="C237" s="149" t="s">
        <v>249</v>
      </c>
      <c r="D237" s="21">
        <v>2.0</v>
      </c>
      <c r="E237" s="22">
        <f t="shared" si="41"/>
        <v>45778</v>
      </c>
      <c r="F237" s="22">
        <f t="shared" si="40"/>
        <v>45780</v>
      </c>
      <c r="G237" s="142">
        <f t="shared" si="42"/>
        <v>235</v>
      </c>
      <c r="H237" s="7" t="s">
        <v>23</v>
      </c>
    </row>
    <row r="238" ht="18.75" customHeight="1">
      <c r="A238" s="150"/>
      <c r="B238" s="108">
        <f t="shared" si="2"/>
        <v>237</v>
      </c>
      <c r="C238" s="149" t="s">
        <v>250</v>
      </c>
      <c r="D238" s="115">
        <v>2.0</v>
      </c>
      <c r="E238" s="24">
        <f t="shared" si="41"/>
        <v>45780</v>
      </c>
      <c r="F238" s="24">
        <f t="shared" si="40"/>
        <v>45782</v>
      </c>
      <c r="G238" s="142">
        <f t="shared" si="42"/>
        <v>236</v>
      </c>
      <c r="H238" s="110" t="s">
        <v>49</v>
      </c>
    </row>
    <row r="239" ht="18.75" customHeight="1">
      <c r="A239" s="75" t="s">
        <v>251</v>
      </c>
      <c r="B239" s="108">
        <f t="shared" si="2"/>
        <v>238</v>
      </c>
      <c r="C239" s="133" t="s">
        <v>252</v>
      </c>
      <c r="D239" s="101">
        <v>1.0</v>
      </c>
      <c r="E239" s="24">
        <f>F214</f>
        <v>45758</v>
      </c>
      <c r="F239" s="24">
        <f t="shared" si="40"/>
        <v>45759</v>
      </c>
      <c r="G239" s="108">
        <f>B214</f>
        <v>213</v>
      </c>
      <c r="H239" s="7" t="s">
        <v>10</v>
      </c>
    </row>
    <row r="240" ht="18.75" customHeight="1">
      <c r="A240" s="151"/>
      <c r="B240" s="108">
        <f t="shared" si="2"/>
        <v>239</v>
      </c>
      <c r="C240" s="133" t="s">
        <v>253</v>
      </c>
      <c r="D240" s="115">
        <v>1.0</v>
      </c>
      <c r="E240" s="22">
        <f t="shared" ref="E240:E242" si="43">F239</f>
        <v>45759</v>
      </c>
      <c r="F240" s="22">
        <f t="shared" si="40"/>
        <v>45760</v>
      </c>
      <c r="G240" s="142">
        <f t="shared" ref="G240:G242" si="44">B239</f>
        <v>238</v>
      </c>
      <c r="H240" s="7" t="s">
        <v>23</v>
      </c>
    </row>
    <row r="241" ht="18.75" customHeight="1">
      <c r="A241" s="151"/>
      <c r="B241" s="108">
        <f t="shared" si="2"/>
        <v>240</v>
      </c>
      <c r="C241" s="133" t="s">
        <v>254</v>
      </c>
      <c r="D241" s="110">
        <v>2.0</v>
      </c>
      <c r="E241" s="24">
        <f t="shared" si="43"/>
        <v>45760</v>
      </c>
      <c r="F241" s="24">
        <f t="shared" si="40"/>
        <v>45762</v>
      </c>
      <c r="G241" s="108">
        <f t="shared" si="44"/>
        <v>239</v>
      </c>
      <c r="H241" s="7" t="s">
        <v>23</v>
      </c>
    </row>
    <row r="242" ht="18.75" customHeight="1">
      <c r="A242" s="152"/>
      <c r="B242" s="108">
        <f t="shared" si="2"/>
        <v>241</v>
      </c>
      <c r="C242" s="133" t="s">
        <v>255</v>
      </c>
      <c r="D242" s="108">
        <v>2.0</v>
      </c>
      <c r="E242" s="22">
        <f t="shared" si="43"/>
        <v>45762</v>
      </c>
      <c r="F242" s="22">
        <f t="shared" si="40"/>
        <v>45764</v>
      </c>
      <c r="G242" s="142">
        <f t="shared" si="44"/>
        <v>240</v>
      </c>
      <c r="H242" s="110" t="s">
        <v>49</v>
      </c>
    </row>
    <row r="243" ht="18.75" customHeight="1">
      <c r="A243" s="32" t="s">
        <v>256</v>
      </c>
      <c r="B243" s="108">
        <f t="shared" si="2"/>
        <v>242</v>
      </c>
      <c r="C243" s="153" t="s">
        <v>257</v>
      </c>
      <c r="D243" s="101">
        <v>1.0</v>
      </c>
      <c r="E243" s="24">
        <f>F218</f>
        <v>45764</v>
      </c>
      <c r="F243" s="24">
        <f t="shared" si="40"/>
        <v>45765</v>
      </c>
      <c r="G243" s="108">
        <f>B218</f>
        <v>217</v>
      </c>
      <c r="H243" s="7" t="s">
        <v>10</v>
      </c>
    </row>
    <row r="244" ht="18.75" customHeight="1">
      <c r="A244" s="154"/>
      <c r="B244" s="104">
        <f t="shared" si="2"/>
        <v>243</v>
      </c>
      <c r="C244" s="153" t="s">
        <v>258</v>
      </c>
      <c r="D244" s="115">
        <v>1.0</v>
      </c>
      <c r="E244" s="22">
        <f t="shared" ref="E244:E246" si="45">F243</f>
        <v>45765</v>
      </c>
      <c r="F244" s="22">
        <f t="shared" si="40"/>
        <v>45766</v>
      </c>
      <c r="G244" s="142">
        <f t="shared" ref="G244:G246" si="46">B243</f>
        <v>242</v>
      </c>
      <c r="H244" s="7" t="s">
        <v>23</v>
      </c>
    </row>
    <row r="245" ht="18.75" customHeight="1">
      <c r="A245" s="154"/>
      <c r="B245" s="108">
        <f t="shared" si="2"/>
        <v>244</v>
      </c>
      <c r="C245" s="153" t="s">
        <v>259</v>
      </c>
      <c r="D245" s="110">
        <v>2.0</v>
      </c>
      <c r="E245" s="24">
        <f t="shared" si="45"/>
        <v>45766</v>
      </c>
      <c r="F245" s="24">
        <f t="shared" si="40"/>
        <v>45768</v>
      </c>
      <c r="G245" s="108">
        <f t="shared" si="46"/>
        <v>243</v>
      </c>
      <c r="H245" s="7" t="s">
        <v>23</v>
      </c>
    </row>
    <row r="246" ht="18.75" customHeight="1">
      <c r="A246" s="155"/>
      <c r="B246" s="108">
        <f t="shared" si="2"/>
        <v>245</v>
      </c>
      <c r="C246" s="153" t="s">
        <v>260</v>
      </c>
      <c r="D246" s="108">
        <v>2.0</v>
      </c>
      <c r="E246" s="24">
        <f t="shared" si="45"/>
        <v>45768</v>
      </c>
      <c r="F246" s="24">
        <f t="shared" si="40"/>
        <v>45770</v>
      </c>
      <c r="G246" s="108">
        <f t="shared" si="46"/>
        <v>244</v>
      </c>
      <c r="H246" s="110" t="s">
        <v>49</v>
      </c>
    </row>
    <row r="247" ht="18.75" customHeight="1">
      <c r="A247" s="112" t="s">
        <v>261</v>
      </c>
      <c r="B247" s="108">
        <f t="shared" si="2"/>
        <v>246</v>
      </c>
      <c r="C247" s="113" t="s">
        <v>262</v>
      </c>
      <c r="D247" s="101">
        <v>1.0</v>
      </c>
      <c r="E247" s="22">
        <f>F226</f>
        <v>45776</v>
      </c>
      <c r="F247" s="22">
        <f t="shared" si="40"/>
        <v>45777</v>
      </c>
      <c r="G247" s="142">
        <f>B226</f>
        <v>225</v>
      </c>
      <c r="H247" s="7" t="s">
        <v>10</v>
      </c>
    </row>
    <row r="248" ht="18.75" customHeight="1">
      <c r="A248" s="156"/>
      <c r="B248" s="108">
        <f t="shared" si="2"/>
        <v>247</v>
      </c>
      <c r="C248" s="113" t="s">
        <v>263</v>
      </c>
      <c r="D248" s="115">
        <v>2.0</v>
      </c>
      <c r="E248" s="24">
        <f t="shared" ref="E248:E255" si="47">F247</f>
        <v>45777</v>
      </c>
      <c r="F248" s="24">
        <f t="shared" si="40"/>
        <v>45779</v>
      </c>
      <c r="G248" s="108">
        <f t="shared" ref="G248:G251" si="48">B247</f>
        <v>246</v>
      </c>
      <c r="H248" s="7" t="s">
        <v>23</v>
      </c>
    </row>
    <row r="249" ht="18.75" customHeight="1">
      <c r="A249" s="156"/>
      <c r="B249" s="108">
        <f t="shared" si="2"/>
        <v>248</v>
      </c>
      <c r="C249" s="113" t="s">
        <v>264</v>
      </c>
      <c r="D249" s="115">
        <v>2.0</v>
      </c>
      <c r="E249" s="22">
        <f t="shared" si="47"/>
        <v>45779</v>
      </c>
      <c r="F249" s="22">
        <f t="shared" si="40"/>
        <v>45781</v>
      </c>
      <c r="G249" s="142">
        <f t="shared" si="48"/>
        <v>247</v>
      </c>
      <c r="H249" s="7" t="s">
        <v>23</v>
      </c>
    </row>
    <row r="250" ht="18.75" customHeight="1">
      <c r="A250" s="156"/>
      <c r="B250" s="108">
        <f t="shared" si="2"/>
        <v>249</v>
      </c>
      <c r="C250" s="113" t="s">
        <v>265</v>
      </c>
      <c r="D250" s="110">
        <v>4.0</v>
      </c>
      <c r="E250" s="24">
        <f t="shared" si="47"/>
        <v>45781</v>
      </c>
      <c r="F250" s="24">
        <f t="shared" si="40"/>
        <v>45785</v>
      </c>
      <c r="G250" s="108">
        <f t="shared" si="48"/>
        <v>248</v>
      </c>
      <c r="H250" s="7" t="s">
        <v>23</v>
      </c>
    </row>
    <row r="251" ht="18.75" customHeight="1">
      <c r="A251" s="140"/>
      <c r="B251" s="104">
        <f t="shared" si="2"/>
        <v>250</v>
      </c>
      <c r="C251" s="113" t="s">
        <v>266</v>
      </c>
      <c r="D251" s="108">
        <v>2.0</v>
      </c>
      <c r="E251" s="22">
        <f t="shared" si="47"/>
        <v>45785</v>
      </c>
      <c r="F251" s="22">
        <f t="shared" si="40"/>
        <v>45787</v>
      </c>
      <c r="G251" s="142">
        <f t="shared" si="48"/>
        <v>249</v>
      </c>
      <c r="H251" s="115" t="s">
        <v>49</v>
      </c>
    </row>
    <row r="252" ht="18.75" customHeight="1">
      <c r="A252" s="140"/>
      <c r="B252" s="104">
        <f t="shared" si="2"/>
        <v>251</v>
      </c>
      <c r="C252" s="157" t="s">
        <v>267</v>
      </c>
      <c r="D252" s="101">
        <v>1.0</v>
      </c>
      <c r="E252" s="24">
        <f t="shared" si="47"/>
        <v>45787</v>
      </c>
      <c r="F252" s="24">
        <f t="shared" si="40"/>
        <v>45788</v>
      </c>
      <c r="G252" s="108">
        <f>B226</f>
        <v>225</v>
      </c>
      <c r="H252" s="7" t="s">
        <v>10</v>
      </c>
    </row>
    <row r="253" ht="18.75" customHeight="1">
      <c r="A253" s="140"/>
      <c r="B253" s="104">
        <f t="shared" si="2"/>
        <v>252</v>
      </c>
      <c r="C253" s="157" t="s">
        <v>268</v>
      </c>
      <c r="D253" s="115">
        <v>1.0</v>
      </c>
      <c r="E253" s="22">
        <f t="shared" si="47"/>
        <v>45788</v>
      </c>
      <c r="F253" s="22">
        <f t="shared" si="40"/>
        <v>45789</v>
      </c>
      <c r="G253" s="142">
        <f t="shared" ref="G253:G255" si="49">B252</f>
        <v>251</v>
      </c>
      <c r="H253" s="7" t="s">
        <v>23</v>
      </c>
    </row>
    <row r="254" ht="18.75" customHeight="1">
      <c r="A254" s="140"/>
      <c r="B254" s="104">
        <f t="shared" si="2"/>
        <v>253</v>
      </c>
      <c r="C254" s="157" t="s">
        <v>269</v>
      </c>
      <c r="D254" s="110">
        <v>2.0</v>
      </c>
      <c r="E254" s="24">
        <f t="shared" si="47"/>
        <v>45789</v>
      </c>
      <c r="F254" s="24">
        <f t="shared" si="40"/>
        <v>45791</v>
      </c>
      <c r="G254" s="108">
        <f t="shared" si="49"/>
        <v>252</v>
      </c>
      <c r="H254" s="7" t="s">
        <v>23</v>
      </c>
    </row>
    <row r="255" ht="18.75" customHeight="1">
      <c r="A255" s="158"/>
      <c r="B255" s="159">
        <f t="shared" si="2"/>
        <v>254</v>
      </c>
      <c r="C255" s="160" t="s">
        <v>270</v>
      </c>
      <c r="D255" s="161">
        <v>2.0</v>
      </c>
      <c r="E255" s="162">
        <f t="shared" si="47"/>
        <v>45791</v>
      </c>
      <c r="F255" s="162">
        <f t="shared" si="40"/>
        <v>45793</v>
      </c>
      <c r="G255" s="161">
        <f t="shared" si="49"/>
        <v>253</v>
      </c>
      <c r="H255" s="163" t="s">
        <v>49</v>
      </c>
    </row>
    <row r="256" ht="18.75" customHeight="1">
      <c r="A256" s="85" t="s">
        <v>8</v>
      </c>
      <c r="B256" s="86">
        <f t="shared" si="2"/>
        <v>255</v>
      </c>
      <c r="C256" s="87" t="s">
        <v>271</v>
      </c>
      <c r="D256" s="57">
        <v>4.0</v>
      </c>
      <c r="E256" s="8">
        <f>F2</f>
        <v>45703</v>
      </c>
      <c r="F256" s="59">
        <f t="shared" si="40"/>
        <v>45707</v>
      </c>
      <c r="G256" s="88" t="s">
        <v>12</v>
      </c>
      <c r="H256" s="7" t="s">
        <v>10</v>
      </c>
    </row>
    <row r="257" ht="18.75" customHeight="1">
      <c r="A257" s="15" t="s">
        <v>186</v>
      </c>
      <c r="B257" s="5">
        <f t="shared" si="2"/>
        <v>256</v>
      </c>
      <c r="C257" s="67" t="s">
        <v>272</v>
      </c>
      <c r="D257" s="17">
        <v>1.0</v>
      </c>
      <c r="E257" s="8">
        <f t="shared" ref="E257:E290" si="50">F256</f>
        <v>45707</v>
      </c>
      <c r="F257" s="58">
        <f t="shared" si="40"/>
        <v>45708</v>
      </c>
      <c r="G257" s="70">
        <f t="shared" ref="G257:G290" si="51">B256</f>
        <v>255</v>
      </c>
      <c r="H257" s="7" t="s">
        <v>10</v>
      </c>
    </row>
    <row r="258" ht="18.75" customHeight="1">
      <c r="A258" s="120"/>
      <c r="B258" s="43">
        <f t="shared" si="2"/>
        <v>257</v>
      </c>
      <c r="C258" s="67" t="s">
        <v>273</v>
      </c>
      <c r="D258" s="7">
        <v>1.0</v>
      </c>
      <c r="E258" s="8">
        <f t="shared" si="50"/>
        <v>45708</v>
      </c>
      <c r="F258" s="58">
        <f t="shared" si="40"/>
        <v>45709</v>
      </c>
      <c r="G258" s="70">
        <f t="shared" si="51"/>
        <v>256</v>
      </c>
      <c r="H258" s="7" t="s">
        <v>23</v>
      </c>
    </row>
    <row r="259" ht="18.75" customHeight="1">
      <c r="A259" s="120"/>
      <c r="B259" s="43">
        <f t="shared" si="2"/>
        <v>258</v>
      </c>
      <c r="C259" s="67" t="s">
        <v>274</v>
      </c>
      <c r="D259" s="7">
        <v>1.0</v>
      </c>
      <c r="E259" s="8">
        <f t="shared" si="50"/>
        <v>45709</v>
      </c>
      <c r="F259" s="58">
        <f t="shared" si="40"/>
        <v>45710</v>
      </c>
      <c r="G259" s="70">
        <f t="shared" si="51"/>
        <v>257</v>
      </c>
      <c r="H259" s="7" t="s">
        <v>23</v>
      </c>
    </row>
    <row r="260" ht="18.75" customHeight="1">
      <c r="A260" s="120"/>
      <c r="B260" s="43">
        <f t="shared" si="2"/>
        <v>259</v>
      </c>
      <c r="C260" s="67" t="s">
        <v>275</v>
      </c>
      <c r="D260" s="7">
        <v>3.0</v>
      </c>
      <c r="E260" s="8">
        <f t="shared" si="50"/>
        <v>45710</v>
      </c>
      <c r="F260" s="58">
        <f t="shared" si="40"/>
        <v>45713</v>
      </c>
      <c r="G260" s="70">
        <f t="shared" si="51"/>
        <v>258</v>
      </c>
      <c r="H260" s="7" t="s">
        <v>23</v>
      </c>
    </row>
    <row r="261" ht="18.75" customHeight="1">
      <c r="A261" s="120"/>
      <c r="B261" s="43">
        <f t="shared" si="2"/>
        <v>260</v>
      </c>
      <c r="C261" s="67" t="s">
        <v>276</v>
      </c>
      <c r="D261" s="7">
        <v>1.0</v>
      </c>
      <c r="E261" s="8">
        <f t="shared" si="50"/>
        <v>45713</v>
      </c>
      <c r="F261" s="58">
        <f t="shared" si="40"/>
        <v>45714</v>
      </c>
      <c r="G261" s="70">
        <f t="shared" si="51"/>
        <v>259</v>
      </c>
      <c r="H261" s="7" t="s">
        <v>10</v>
      </c>
    </row>
    <row r="262" ht="18.75" customHeight="1">
      <c r="A262" s="120"/>
      <c r="B262" s="43">
        <f t="shared" si="2"/>
        <v>261</v>
      </c>
      <c r="C262" s="67" t="s">
        <v>277</v>
      </c>
      <c r="D262" s="7">
        <v>1.0</v>
      </c>
      <c r="E262" s="8">
        <f t="shared" si="50"/>
        <v>45714</v>
      </c>
      <c r="F262" s="58">
        <f t="shared" si="40"/>
        <v>45715</v>
      </c>
      <c r="G262" s="70">
        <f t="shared" si="51"/>
        <v>260</v>
      </c>
      <c r="H262" s="7" t="s">
        <v>23</v>
      </c>
    </row>
    <row r="263" ht="18.75" customHeight="1">
      <c r="A263" s="121"/>
      <c r="B263" s="43">
        <f t="shared" si="2"/>
        <v>262</v>
      </c>
      <c r="C263" s="67" t="s">
        <v>278</v>
      </c>
      <c r="D263" s="7">
        <v>1.0</v>
      </c>
      <c r="E263" s="8">
        <f t="shared" si="50"/>
        <v>45715</v>
      </c>
      <c r="F263" s="58">
        <f t="shared" si="40"/>
        <v>45716</v>
      </c>
      <c r="G263" s="70">
        <f t="shared" si="51"/>
        <v>261</v>
      </c>
      <c r="H263" s="7" t="s">
        <v>23</v>
      </c>
    </row>
    <row r="264" ht="18.75" customHeight="1">
      <c r="A264" s="121"/>
      <c r="B264" s="43">
        <f t="shared" si="2"/>
        <v>263</v>
      </c>
      <c r="C264" s="20" t="s">
        <v>29</v>
      </c>
      <c r="D264" s="7">
        <v>4.0</v>
      </c>
      <c r="E264" s="8">
        <f t="shared" si="50"/>
        <v>45716</v>
      </c>
      <c r="F264" s="58">
        <f t="shared" si="40"/>
        <v>45720</v>
      </c>
      <c r="G264" s="70">
        <f t="shared" si="51"/>
        <v>262</v>
      </c>
      <c r="H264" s="7" t="s">
        <v>23</v>
      </c>
    </row>
    <row r="265" ht="18.75" customHeight="1">
      <c r="A265" s="121"/>
      <c r="B265" s="43">
        <f t="shared" si="2"/>
        <v>264</v>
      </c>
      <c r="C265" s="67" t="s">
        <v>30</v>
      </c>
      <c r="D265" s="7">
        <v>1.0</v>
      </c>
      <c r="E265" s="8">
        <f t="shared" si="50"/>
        <v>45720</v>
      </c>
      <c r="F265" s="58">
        <f t="shared" si="40"/>
        <v>45721</v>
      </c>
      <c r="G265" s="70">
        <f t="shared" si="51"/>
        <v>263</v>
      </c>
      <c r="H265" s="7" t="s">
        <v>10</v>
      </c>
    </row>
    <row r="266" ht="18.75" customHeight="1">
      <c r="A266" s="121"/>
      <c r="B266" s="43">
        <f t="shared" si="2"/>
        <v>265</v>
      </c>
      <c r="C266" s="67" t="s">
        <v>31</v>
      </c>
      <c r="D266" s="7">
        <v>1.0</v>
      </c>
      <c r="E266" s="8">
        <f t="shared" si="50"/>
        <v>45721</v>
      </c>
      <c r="F266" s="58">
        <f t="shared" si="40"/>
        <v>45722</v>
      </c>
      <c r="G266" s="70">
        <f t="shared" si="51"/>
        <v>264</v>
      </c>
      <c r="H266" s="7" t="s">
        <v>23</v>
      </c>
    </row>
    <row r="267" ht="18.75" customHeight="1">
      <c r="A267" s="121"/>
      <c r="B267" s="43">
        <f t="shared" si="2"/>
        <v>266</v>
      </c>
      <c r="C267" s="67" t="s">
        <v>127</v>
      </c>
      <c r="D267" s="110">
        <v>2.0</v>
      </c>
      <c r="E267" s="8">
        <f t="shared" si="50"/>
        <v>45722</v>
      </c>
      <c r="F267" s="58">
        <f t="shared" si="40"/>
        <v>45724</v>
      </c>
      <c r="G267" s="70">
        <f t="shared" si="51"/>
        <v>265</v>
      </c>
      <c r="H267" s="7" t="s">
        <v>23</v>
      </c>
    </row>
    <row r="268" ht="18.75" customHeight="1">
      <c r="A268" s="121"/>
      <c r="B268" s="43">
        <f t="shared" si="2"/>
        <v>267</v>
      </c>
      <c r="C268" s="67" t="s">
        <v>33</v>
      </c>
      <c r="D268" s="7">
        <v>1.0</v>
      </c>
      <c r="E268" s="8">
        <f t="shared" si="50"/>
        <v>45724</v>
      </c>
      <c r="F268" s="58">
        <f t="shared" si="40"/>
        <v>45725</v>
      </c>
      <c r="G268" s="70">
        <f t="shared" si="51"/>
        <v>266</v>
      </c>
      <c r="H268" s="7" t="s">
        <v>10</v>
      </c>
    </row>
    <row r="269" ht="18.75" customHeight="1">
      <c r="A269" s="121"/>
      <c r="B269" s="43">
        <f t="shared" si="2"/>
        <v>268</v>
      </c>
      <c r="C269" s="67" t="s">
        <v>128</v>
      </c>
      <c r="D269" s="115">
        <v>2.0</v>
      </c>
      <c r="E269" s="8">
        <f t="shared" si="50"/>
        <v>45725</v>
      </c>
      <c r="F269" s="58">
        <f t="shared" si="40"/>
        <v>45727</v>
      </c>
      <c r="G269" s="70">
        <f t="shared" si="51"/>
        <v>267</v>
      </c>
      <c r="H269" s="7" t="s">
        <v>23</v>
      </c>
    </row>
    <row r="270" ht="18.75" customHeight="1">
      <c r="A270" s="122"/>
      <c r="B270" s="5">
        <f t="shared" si="2"/>
        <v>269</v>
      </c>
      <c r="C270" s="20" t="s">
        <v>35</v>
      </c>
      <c r="D270" s="7">
        <v>4.0</v>
      </c>
      <c r="E270" s="8">
        <f t="shared" si="50"/>
        <v>45727</v>
      </c>
      <c r="F270" s="58">
        <f t="shared" si="40"/>
        <v>45731</v>
      </c>
      <c r="G270" s="70">
        <f t="shared" si="51"/>
        <v>268</v>
      </c>
      <c r="H270" s="7" t="s">
        <v>23</v>
      </c>
    </row>
    <row r="271" ht="18.75" customHeight="1">
      <c r="A271" s="121"/>
      <c r="B271" s="43">
        <f t="shared" si="2"/>
        <v>270</v>
      </c>
      <c r="C271" s="67" t="s">
        <v>279</v>
      </c>
      <c r="D271" s="7">
        <v>1.0</v>
      </c>
      <c r="E271" s="8">
        <f t="shared" si="50"/>
        <v>45731</v>
      </c>
      <c r="F271" s="58">
        <f t="shared" si="40"/>
        <v>45732</v>
      </c>
      <c r="G271" s="70">
        <f t="shared" si="51"/>
        <v>269</v>
      </c>
      <c r="H271" s="7" t="s">
        <v>10</v>
      </c>
    </row>
    <row r="272" ht="18.75" customHeight="1">
      <c r="A272" s="122"/>
      <c r="B272" s="5">
        <f t="shared" si="2"/>
        <v>271</v>
      </c>
      <c r="C272" s="67" t="s">
        <v>280</v>
      </c>
      <c r="D272" s="7">
        <v>1.0</v>
      </c>
      <c r="E272" s="8">
        <f t="shared" si="50"/>
        <v>45732</v>
      </c>
      <c r="F272" s="58">
        <f t="shared" si="40"/>
        <v>45733</v>
      </c>
      <c r="G272" s="70">
        <f t="shared" si="51"/>
        <v>270</v>
      </c>
      <c r="H272" s="7" t="s">
        <v>23</v>
      </c>
    </row>
    <row r="273" ht="18.75" customHeight="1">
      <c r="A273" s="123"/>
      <c r="B273" s="5">
        <f t="shared" si="2"/>
        <v>272</v>
      </c>
      <c r="C273" s="67" t="s">
        <v>281</v>
      </c>
      <c r="D273" s="7">
        <v>2.0</v>
      </c>
      <c r="E273" s="8">
        <f t="shared" si="50"/>
        <v>45733</v>
      </c>
      <c r="F273" s="58">
        <f t="shared" si="40"/>
        <v>45735</v>
      </c>
      <c r="G273" s="70">
        <f t="shared" si="51"/>
        <v>271</v>
      </c>
      <c r="H273" s="7" t="s">
        <v>23</v>
      </c>
    </row>
    <row r="274" ht="18.75" customHeight="1">
      <c r="A274" s="124" t="s">
        <v>81</v>
      </c>
      <c r="B274" s="43">
        <f t="shared" si="2"/>
        <v>273</v>
      </c>
      <c r="C274" s="125" t="s">
        <v>282</v>
      </c>
      <c r="D274" s="7">
        <v>1.0</v>
      </c>
      <c r="E274" s="8">
        <f t="shared" si="50"/>
        <v>45735</v>
      </c>
      <c r="F274" s="58">
        <f t="shared" si="40"/>
        <v>45736</v>
      </c>
      <c r="G274" s="70">
        <f t="shared" si="51"/>
        <v>272</v>
      </c>
      <c r="H274" s="7" t="s">
        <v>10</v>
      </c>
    </row>
    <row r="275" ht="18.75" customHeight="1">
      <c r="A275" s="126"/>
      <c r="B275" s="43">
        <f t="shared" si="2"/>
        <v>274</v>
      </c>
      <c r="C275" s="125" t="s">
        <v>283</v>
      </c>
      <c r="D275" s="7">
        <v>1.0</v>
      </c>
      <c r="E275" s="8">
        <f t="shared" si="50"/>
        <v>45736</v>
      </c>
      <c r="F275" s="58">
        <f t="shared" si="40"/>
        <v>45737</v>
      </c>
      <c r="G275" s="70">
        <f t="shared" si="51"/>
        <v>273</v>
      </c>
      <c r="H275" s="7" t="s">
        <v>23</v>
      </c>
    </row>
    <row r="276" ht="18.75" customHeight="1">
      <c r="A276" s="126"/>
      <c r="B276" s="43">
        <f t="shared" si="2"/>
        <v>275</v>
      </c>
      <c r="C276" s="125" t="s">
        <v>284</v>
      </c>
      <c r="D276" s="7">
        <v>3.0</v>
      </c>
      <c r="E276" s="8">
        <f t="shared" si="50"/>
        <v>45737</v>
      </c>
      <c r="F276" s="58">
        <f t="shared" si="40"/>
        <v>45740</v>
      </c>
      <c r="G276" s="70">
        <f t="shared" si="51"/>
        <v>274</v>
      </c>
      <c r="H276" s="7" t="s">
        <v>23</v>
      </c>
    </row>
    <row r="277" ht="18.75" customHeight="1">
      <c r="A277" s="126"/>
      <c r="B277" s="43">
        <f t="shared" si="2"/>
        <v>276</v>
      </c>
      <c r="C277" s="125" t="s">
        <v>285</v>
      </c>
      <c r="D277" s="21">
        <v>1.0</v>
      </c>
      <c r="E277" s="8">
        <f t="shared" si="50"/>
        <v>45740</v>
      </c>
      <c r="F277" s="58">
        <f t="shared" si="40"/>
        <v>45741</v>
      </c>
      <c r="G277" s="70">
        <f t="shared" si="51"/>
        <v>275</v>
      </c>
      <c r="H277" s="7" t="s">
        <v>23</v>
      </c>
    </row>
    <row r="278" ht="18.75" customHeight="1">
      <c r="A278" s="126"/>
      <c r="B278" s="43">
        <f t="shared" si="2"/>
        <v>277</v>
      </c>
      <c r="C278" s="125" t="s">
        <v>286</v>
      </c>
      <c r="D278" s="7">
        <v>5.0</v>
      </c>
      <c r="E278" s="8">
        <f t="shared" si="50"/>
        <v>45741</v>
      </c>
      <c r="F278" s="58">
        <f t="shared" si="40"/>
        <v>45746</v>
      </c>
      <c r="G278" s="70">
        <f t="shared" si="51"/>
        <v>276</v>
      </c>
      <c r="H278" s="7" t="s">
        <v>23</v>
      </c>
    </row>
    <row r="279" ht="18.75" customHeight="1">
      <c r="A279" s="164"/>
      <c r="B279" s="5">
        <f t="shared" si="2"/>
        <v>278</v>
      </c>
      <c r="C279" s="165" t="s">
        <v>287</v>
      </c>
      <c r="D279" s="7">
        <v>1.0</v>
      </c>
      <c r="E279" s="8">
        <f t="shared" si="50"/>
        <v>45746</v>
      </c>
      <c r="F279" s="8">
        <f t="shared" si="40"/>
        <v>45747</v>
      </c>
      <c r="G279" s="70">
        <f t="shared" si="51"/>
        <v>277</v>
      </c>
      <c r="H279" s="7" t="s">
        <v>10</v>
      </c>
    </row>
    <row r="280" ht="18.75" customHeight="1">
      <c r="A280" s="164"/>
      <c r="B280" s="5">
        <f t="shared" si="2"/>
        <v>279</v>
      </c>
      <c r="C280" s="165" t="s">
        <v>288</v>
      </c>
      <c r="D280" s="7">
        <v>1.0</v>
      </c>
      <c r="E280" s="8">
        <f t="shared" si="50"/>
        <v>45747</v>
      </c>
      <c r="F280" s="8">
        <f t="shared" si="40"/>
        <v>45748</v>
      </c>
      <c r="G280" s="70">
        <f t="shared" si="51"/>
        <v>278</v>
      </c>
      <c r="H280" s="7" t="s">
        <v>23</v>
      </c>
    </row>
    <row r="281" ht="18.75" customHeight="1">
      <c r="A281" s="164"/>
      <c r="B281" s="5">
        <f t="shared" si="2"/>
        <v>280</v>
      </c>
      <c r="C281" s="165" t="s">
        <v>289</v>
      </c>
      <c r="D281" s="7">
        <v>2.0</v>
      </c>
      <c r="E281" s="8">
        <f t="shared" si="50"/>
        <v>45748</v>
      </c>
      <c r="F281" s="8">
        <f t="shared" si="40"/>
        <v>45750</v>
      </c>
      <c r="G281" s="70">
        <f t="shared" si="51"/>
        <v>279</v>
      </c>
      <c r="H281" s="7" t="s">
        <v>23</v>
      </c>
    </row>
    <row r="282" ht="18.75" customHeight="1">
      <c r="A282" s="164"/>
      <c r="B282" s="5">
        <f t="shared" si="2"/>
        <v>281</v>
      </c>
      <c r="C282" s="165" t="s">
        <v>290</v>
      </c>
      <c r="D282" s="7">
        <v>2.0</v>
      </c>
      <c r="E282" s="8">
        <f t="shared" si="50"/>
        <v>45750</v>
      </c>
      <c r="F282" s="8">
        <f t="shared" si="40"/>
        <v>45752</v>
      </c>
      <c r="G282" s="70">
        <f t="shared" si="51"/>
        <v>280</v>
      </c>
      <c r="H282" s="7" t="s">
        <v>49</v>
      </c>
    </row>
    <row r="283" ht="18.75" customHeight="1">
      <c r="A283" s="164"/>
      <c r="B283" s="5">
        <f t="shared" si="2"/>
        <v>282</v>
      </c>
      <c r="C283" s="125" t="s">
        <v>291</v>
      </c>
      <c r="D283" s="7">
        <v>1.0</v>
      </c>
      <c r="E283" s="8">
        <f t="shared" si="50"/>
        <v>45752</v>
      </c>
      <c r="F283" s="8">
        <f t="shared" si="40"/>
        <v>45753</v>
      </c>
      <c r="G283" s="70">
        <f t="shared" si="51"/>
        <v>281</v>
      </c>
      <c r="H283" s="7" t="s">
        <v>10</v>
      </c>
    </row>
    <row r="284" ht="18.75" customHeight="1">
      <c r="A284" s="164"/>
      <c r="B284" s="5">
        <f t="shared" si="2"/>
        <v>283</v>
      </c>
      <c r="C284" s="125" t="s">
        <v>292</v>
      </c>
      <c r="D284" s="7">
        <v>1.0</v>
      </c>
      <c r="E284" s="8">
        <f t="shared" si="50"/>
        <v>45753</v>
      </c>
      <c r="F284" s="8">
        <f t="shared" si="40"/>
        <v>45754</v>
      </c>
      <c r="G284" s="70">
        <f t="shared" si="51"/>
        <v>282</v>
      </c>
      <c r="H284" s="7" t="s">
        <v>23</v>
      </c>
    </row>
    <row r="285" ht="18.75" customHeight="1">
      <c r="A285" s="164"/>
      <c r="B285" s="5">
        <f t="shared" si="2"/>
        <v>284</v>
      </c>
      <c r="C285" s="125" t="s">
        <v>293</v>
      </c>
      <c r="D285" s="7">
        <v>4.0</v>
      </c>
      <c r="E285" s="8">
        <f t="shared" si="50"/>
        <v>45754</v>
      </c>
      <c r="F285" s="8">
        <f t="shared" si="40"/>
        <v>45758</v>
      </c>
      <c r="G285" s="70">
        <f t="shared" si="51"/>
        <v>283</v>
      </c>
      <c r="H285" s="7" t="s">
        <v>23</v>
      </c>
    </row>
    <row r="286" ht="18.75" customHeight="1">
      <c r="A286" s="164"/>
      <c r="B286" s="5">
        <f t="shared" si="2"/>
        <v>285</v>
      </c>
      <c r="C286" s="125" t="s">
        <v>294</v>
      </c>
      <c r="D286" s="7">
        <v>2.0</v>
      </c>
      <c r="E286" s="8">
        <f t="shared" si="50"/>
        <v>45758</v>
      </c>
      <c r="F286" s="8">
        <f t="shared" si="40"/>
        <v>45760</v>
      </c>
      <c r="G286" s="70">
        <f t="shared" si="51"/>
        <v>284</v>
      </c>
      <c r="H286" s="7" t="s">
        <v>49</v>
      </c>
    </row>
    <row r="287" ht="18.75" customHeight="1">
      <c r="A287" s="164"/>
      <c r="B287" s="5">
        <f t="shared" si="2"/>
        <v>286</v>
      </c>
      <c r="C287" s="125" t="s">
        <v>295</v>
      </c>
      <c r="D287" s="7">
        <v>1.0</v>
      </c>
      <c r="E287" s="8">
        <f t="shared" si="50"/>
        <v>45760</v>
      </c>
      <c r="F287" s="8">
        <f t="shared" si="40"/>
        <v>45761</v>
      </c>
      <c r="G287" s="70">
        <f t="shared" si="51"/>
        <v>285</v>
      </c>
      <c r="H287" s="7" t="s">
        <v>10</v>
      </c>
    </row>
    <row r="288" ht="18.75" customHeight="1">
      <c r="A288" s="164"/>
      <c r="B288" s="5">
        <f t="shared" si="2"/>
        <v>287</v>
      </c>
      <c r="C288" s="125" t="s">
        <v>296</v>
      </c>
      <c r="D288" s="7">
        <v>1.0</v>
      </c>
      <c r="E288" s="8">
        <f t="shared" si="50"/>
        <v>45761</v>
      </c>
      <c r="F288" s="8">
        <f t="shared" si="40"/>
        <v>45762</v>
      </c>
      <c r="G288" s="70">
        <f t="shared" si="51"/>
        <v>286</v>
      </c>
      <c r="H288" s="7" t="s">
        <v>23</v>
      </c>
    </row>
    <row r="289" ht="18.75" customHeight="1">
      <c r="A289" s="164"/>
      <c r="B289" s="5">
        <f t="shared" si="2"/>
        <v>288</v>
      </c>
      <c r="C289" s="125" t="s">
        <v>297</v>
      </c>
      <c r="D289" s="7">
        <v>2.0</v>
      </c>
      <c r="E289" s="8">
        <f t="shared" si="50"/>
        <v>45762</v>
      </c>
      <c r="F289" s="8">
        <f t="shared" si="40"/>
        <v>45764</v>
      </c>
      <c r="G289" s="70">
        <f t="shared" si="51"/>
        <v>287</v>
      </c>
      <c r="H289" s="7" t="s">
        <v>23</v>
      </c>
    </row>
    <row r="290" ht="18.75" customHeight="1">
      <c r="A290" s="166"/>
      <c r="B290" s="5">
        <f t="shared" si="2"/>
        <v>289</v>
      </c>
      <c r="C290" s="125" t="s">
        <v>298</v>
      </c>
      <c r="D290" s="7">
        <v>2.0</v>
      </c>
      <c r="E290" s="8">
        <f t="shared" si="50"/>
        <v>45764</v>
      </c>
      <c r="F290" s="8">
        <f t="shared" si="40"/>
        <v>45766</v>
      </c>
      <c r="G290" s="70">
        <f t="shared" si="51"/>
        <v>288</v>
      </c>
      <c r="H290" s="7" t="s">
        <v>49</v>
      </c>
    </row>
    <row r="291" ht="18.75" customHeight="1">
      <c r="A291" s="36" t="s">
        <v>55</v>
      </c>
      <c r="B291" s="5">
        <f t="shared" si="2"/>
        <v>290</v>
      </c>
      <c r="C291" s="39" t="s">
        <v>299</v>
      </c>
      <c r="D291" s="7">
        <v>1.0</v>
      </c>
      <c r="E291" s="8">
        <f>F286</f>
        <v>45760</v>
      </c>
      <c r="F291" s="8">
        <f t="shared" si="40"/>
        <v>45761</v>
      </c>
      <c r="G291" s="70">
        <f>B286</f>
        <v>285</v>
      </c>
      <c r="H291" s="7" t="s">
        <v>10</v>
      </c>
    </row>
    <row r="292" ht="18.75" customHeight="1">
      <c r="A292" s="38"/>
      <c r="B292" s="5">
        <f t="shared" si="2"/>
        <v>291</v>
      </c>
      <c r="C292" s="39" t="s">
        <v>300</v>
      </c>
      <c r="D292" s="7">
        <v>1.0</v>
      </c>
      <c r="E292" s="8">
        <f t="shared" ref="E292:E294" si="52">F291</f>
        <v>45761</v>
      </c>
      <c r="F292" s="8">
        <f t="shared" si="40"/>
        <v>45762</v>
      </c>
      <c r="G292" s="70">
        <f t="shared" ref="G292:G294" si="53">B291</f>
        <v>290</v>
      </c>
      <c r="H292" s="7" t="s">
        <v>23</v>
      </c>
    </row>
    <row r="293" ht="18.75" customHeight="1">
      <c r="A293" s="38"/>
      <c r="B293" s="5">
        <f t="shared" si="2"/>
        <v>292</v>
      </c>
      <c r="C293" s="39" t="s">
        <v>301</v>
      </c>
      <c r="D293" s="7">
        <v>4.0</v>
      </c>
      <c r="E293" s="8">
        <f t="shared" si="52"/>
        <v>45762</v>
      </c>
      <c r="F293" s="8">
        <f t="shared" si="40"/>
        <v>45766</v>
      </c>
      <c r="G293" s="70">
        <f t="shared" si="53"/>
        <v>291</v>
      </c>
      <c r="H293" s="7" t="s">
        <v>23</v>
      </c>
    </row>
    <row r="294" ht="18.75" customHeight="1">
      <c r="A294" s="40"/>
      <c r="B294" s="5">
        <f t="shared" si="2"/>
        <v>293</v>
      </c>
      <c r="C294" s="39" t="s">
        <v>302</v>
      </c>
      <c r="D294" s="7">
        <v>2.0</v>
      </c>
      <c r="E294" s="8">
        <f t="shared" si="52"/>
        <v>45766</v>
      </c>
      <c r="F294" s="8">
        <f t="shared" si="40"/>
        <v>45768</v>
      </c>
      <c r="G294" s="70">
        <f t="shared" si="53"/>
        <v>292</v>
      </c>
      <c r="H294" s="7" t="s">
        <v>49</v>
      </c>
    </row>
    <row r="295" ht="18.75" customHeight="1">
      <c r="A295" s="32" t="s">
        <v>103</v>
      </c>
      <c r="B295" s="5">
        <f t="shared" si="2"/>
        <v>294</v>
      </c>
      <c r="C295" s="100" t="s">
        <v>303</v>
      </c>
      <c r="D295" s="7">
        <v>1.0</v>
      </c>
      <c r="E295" s="8">
        <f>F286</f>
        <v>45760</v>
      </c>
      <c r="F295" s="8">
        <f t="shared" si="40"/>
        <v>45761</v>
      </c>
      <c r="G295" s="9">
        <f>B286</f>
        <v>285</v>
      </c>
      <c r="H295" s="7" t="s">
        <v>10</v>
      </c>
    </row>
    <row r="296" ht="18.75" customHeight="1">
      <c r="A296" s="34"/>
      <c r="B296" s="5">
        <f t="shared" si="2"/>
        <v>295</v>
      </c>
      <c r="C296" s="100" t="s">
        <v>304</v>
      </c>
      <c r="D296" s="7">
        <v>1.0</v>
      </c>
      <c r="E296" s="8">
        <f t="shared" ref="E296:E298" si="54">F295</f>
        <v>45761</v>
      </c>
      <c r="F296" s="8">
        <f t="shared" si="40"/>
        <v>45762</v>
      </c>
      <c r="G296" s="70">
        <f t="shared" ref="G296:G298" si="55">B295</f>
        <v>294</v>
      </c>
      <c r="H296" s="7" t="s">
        <v>23</v>
      </c>
    </row>
    <row r="297" ht="18.75" customHeight="1">
      <c r="A297" s="34"/>
      <c r="B297" s="5">
        <f t="shared" si="2"/>
        <v>296</v>
      </c>
      <c r="C297" s="100" t="s">
        <v>305</v>
      </c>
      <c r="D297" s="7">
        <v>4.0</v>
      </c>
      <c r="E297" s="8">
        <f t="shared" si="54"/>
        <v>45762</v>
      </c>
      <c r="F297" s="8">
        <f t="shared" si="40"/>
        <v>45766</v>
      </c>
      <c r="G297" s="70">
        <f t="shared" si="55"/>
        <v>295</v>
      </c>
      <c r="H297" s="7" t="s">
        <v>23</v>
      </c>
    </row>
    <row r="298" ht="18.75" customHeight="1">
      <c r="A298" s="167"/>
      <c r="B298" s="5">
        <f t="shared" si="2"/>
        <v>297</v>
      </c>
      <c r="C298" s="100" t="s">
        <v>306</v>
      </c>
      <c r="D298" s="7">
        <v>2.0</v>
      </c>
      <c r="E298" s="8">
        <f t="shared" si="54"/>
        <v>45766</v>
      </c>
      <c r="F298" s="8">
        <f t="shared" si="40"/>
        <v>45768</v>
      </c>
      <c r="G298" s="70">
        <f t="shared" si="55"/>
        <v>296</v>
      </c>
      <c r="H298" s="7" t="s">
        <v>49</v>
      </c>
    </row>
    <row r="299" ht="18.75" customHeight="1">
      <c r="A299" s="92" t="s">
        <v>307</v>
      </c>
      <c r="B299" s="5">
        <f t="shared" si="2"/>
        <v>298</v>
      </c>
      <c r="C299" s="29" t="s">
        <v>308</v>
      </c>
      <c r="D299" s="7">
        <v>2.0</v>
      </c>
      <c r="E299" s="8">
        <f>F286</f>
        <v>45760</v>
      </c>
      <c r="F299" s="8">
        <f t="shared" si="40"/>
        <v>45762</v>
      </c>
      <c r="G299" s="9">
        <f>B286</f>
        <v>285</v>
      </c>
      <c r="H299" s="7" t="s">
        <v>10</v>
      </c>
    </row>
    <row r="300" ht="18.75" customHeight="1">
      <c r="A300" s="168"/>
      <c r="B300" s="5">
        <f t="shared" si="2"/>
        <v>299</v>
      </c>
      <c r="C300" s="29" t="s">
        <v>309</v>
      </c>
      <c r="D300" s="7">
        <v>4.0</v>
      </c>
      <c r="E300" s="8">
        <f t="shared" ref="E300:E302" si="56">F299</f>
        <v>45762</v>
      </c>
      <c r="F300" s="8">
        <f t="shared" si="40"/>
        <v>45766</v>
      </c>
      <c r="G300" s="70">
        <f t="shared" ref="G300:G302" si="57">B299</f>
        <v>298</v>
      </c>
      <c r="H300" s="7" t="s">
        <v>23</v>
      </c>
    </row>
    <row r="301" ht="18.75" customHeight="1">
      <c r="A301" s="168"/>
      <c r="B301" s="5">
        <f t="shared" si="2"/>
        <v>300</v>
      </c>
      <c r="C301" s="29" t="s">
        <v>310</v>
      </c>
      <c r="D301" s="7">
        <v>4.0</v>
      </c>
      <c r="E301" s="8">
        <f t="shared" si="56"/>
        <v>45766</v>
      </c>
      <c r="F301" s="8">
        <f t="shared" si="40"/>
        <v>45770</v>
      </c>
      <c r="G301" s="70">
        <f t="shared" si="57"/>
        <v>299</v>
      </c>
      <c r="H301" s="7" t="s">
        <v>23</v>
      </c>
    </row>
    <row r="302" ht="18.75" customHeight="1">
      <c r="A302" s="169"/>
      <c r="B302" s="5">
        <f t="shared" si="2"/>
        <v>301</v>
      </c>
      <c r="C302" s="29" t="s">
        <v>311</v>
      </c>
      <c r="D302" s="7">
        <v>2.0</v>
      </c>
      <c r="E302" s="8">
        <f t="shared" si="56"/>
        <v>45770</v>
      </c>
      <c r="F302" s="8">
        <f t="shared" si="40"/>
        <v>45772</v>
      </c>
      <c r="G302" s="70">
        <f t="shared" si="57"/>
        <v>300</v>
      </c>
      <c r="H302" s="7" t="s">
        <v>49</v>
      </c>
    </row>
    <row r="303" ht="18.75" customHeight="1">
      <c r="A303" s="75" t="s">
        <v>312</v>
      </c>
      <c r="B303" s="5">
        <f t="shared" si="2"/>
        <v>302</v>
      </c>
      <c r="C303" s="78" t="s">
        <v>313</v>
      </c>
      <c r="D303" s="7">
        <v>2.0</v>
      </c>
      <c r="E303" s="8">
        <f>F286</f>
        <v>45760</v>
      </c>
      <c r="F303" s="8">
        <f t="shared" si="40"/>
        <v>45762</v>
      </c>
      <c r="G303" s="9">
        <f>B286</f>
        <v>285</v>
      </c>
      <c r="H303" s="7" t="s">
        <v>10</v>
      </c>
    </row>
    <row r="304" ht="18.75" customHeight="1">
      <c r="A304" s="77"/>
      <c r="B304" s="5">
        <f t="shared" si="2"/>
        <v>303</v>
      </c>
      <c r="C304" s="78" t="s">
        <v>314</v>
      </c>
      <c r="D304" s="7">
        <v>4.0</v>
      </c>
      <c r="E304" s="8">
        <f t="shared" ref="E304:E306" si="58">F303</f>
        <v>45762</v>
      </c>
      <c r="F304" s="8">
        <f t="shared" si="40"/>
        <v>45766</v>
      </c>
      <c r="G304" s="70">
        <f t="shared" ref="G304:G306" si="59">B303</f>
        <v>302</v>
      </c>
      <c r="H304" s="7" t="s">
        <v>23</v>
      </c>
    </row>
    <row r="305" ht="18.75" customHeight="1">
      <c r="A305" s="77"/>
      <c r="B305" s="5">
        <f t="shared" si="2"/>
        <v>304</v>
      </c>
      <c r="C305" s="78" t="s">
        <v>315</v>
      </c>
      <c r="D305" s="7">
        <v>4.0</v>
      </c>
      <c r="E305" s="8">
        <f t="shared" si="58"/>
        <v>45766</v>
      </c>
      <c r="F305" s="8">
        <f t="shared" si="40"/>
        <v>45770</v>
      </c>
      <c r="G305" s="70">
        <f t="shared" si="59"/>
        <v>303</v>
      </c>
      <c r="H305" s="7" t="s">
        <v>23</v>
      </c>
    </row>
    <row r="306" ht="18.75" customHeight="1">
      <c r="A306" s="79"/>
      <c r="B306" s="5">
        <f t="shared" si="2"/>
        <v>305</v>
      </c>
      <c r="C306" s="78" t="s">
        <v>316</v>
      </c>
      <c r="D306" s="7">
        <v>2.0</v>
      </c>
      <c r="E306" s="8">
        <f t="shared" si="58"/>
        <v>45770</v>
      </c>
      <c r="F306" s="8">
        <f t="shared" si="40"/>
        <v>45772</v>
      </c>
      <c r="G306" s="70">
        <f t="shared" si="59"/>
        <v>304</v>
      </c>
      <c r="H306" s="7" t="s">
        <v>49</v>
      </c>
    </row>
    <row r="307" ht="18.75" customHeight="1">
      <c r="A307" s="112" t="s">
        <v>178</v>
      </c>
      <c r="B307" s="108">
        <f t="shared" si="2"/>
        <v>306</v>
      </c>
      <c r="C307" s="113" t="s">
        <v>317</v>
      </c>
      <c r="D307" s="101">
        <v>1.0</v>
      </c>
      <c r="E307" s="8">
        <f>F286</f>
        <v>45760</v>
      </c>
      <c r="F307" s="22">
        <f t="shared" si="40"/>
        <v>45761</v>
      </c>
      <c r="G307" s="142">
        <f>B286</f>
        <v>285</v>
      </c>
      <c r="H307" s="7" t="s">
        <v>10</v>
      </c>
    </row>
    <row r="308" ht="18.75" customHeight="1">
      <c r="A308" s="156"/>
      <c r="B308" s="108">
        <f t="shared" si="2"/>
        <v>307</v>
      </c>
      <c r="C308" s="113" t="s">
        <v>318</v>
      </c>
      <c r="D308" s="115">
        <v>2.0</v>
      </c>
      <c r="E308" s="8">
        <f t="shared" ref="E308:E311" si="60">F307</f>
        <v>45761</v>
      </c>
      <c r="F308" s="24">
        <f t="shared" si="40"/>
        <v>45763</v>
      </c>
      <c r="G308" s="70">
        <f t="shared" ref="G308:G311" si="61">B307</f>
        <v>306</v>
      </c>
      <c r="H308" s="7" t="s">
        <v>23</v>
      </c>
    </row>
    <row r="309" ht="18.75" customHeight="1">
      <c r="A309" s="156"/>
      <c r="B309" s="108">
        <f t="shared" si="2"/>
        <v>308</v>
      </c>
      <c r="C309" s="113" t="s">
        <v>319</v>
      </c>
      <c r="D309" s="115">
        <v>2.0</v>
      </c>
      <c r="E309" s="8">
        <f t="shared" si="60"/>
        <v>45763</v>
      </c>
      <c r="F309" s="22">
        <f t="shared" si="40"/>
        <v>45765</v>
      </c>
      <c r="G309" s="70">
        <f t="shared" si="61"/>
        <v>307</v>
      </c>
      <c r="H309" s="7" t="s">
        <v>23</v>
      </c>
    </row>
    <row r="310" ht="18.75" customHeight="1">
      <c r="A310" s="156"/>
      <c r="B310" s="108">
        <f t="shared" si="2"/>
        <v>309</v>
      </c>
      <c r="C310" s="113" t="s">
        <v>320</v>
      </c>
      <c r="D310" s="101">
        <v>4.0</v>
      </c>
      <c r="E310" s="8">
        <f t="shared" si="60"/>
        <v>45765</v>
      </c>
      <c r="F310" s="24">
        <f t="shared" si="40"/>
        <v>45769</v>
      </c>
      <c r="G310" s="70">
        <f t="shared" si="61"/>
        <v>308</v>
      </c>
      <c r="H310" s="7" t="s">
        <v>23</v>
      </c>
    </row>
    <row r="311" ht="18.75" customHeight="1">
      <c r="A311" s="170"/>
      <c r="B311" s="104">
        <f t="shared" si="2"/>
        <v>310</v>
      </c>
      <c r="C311" s="113" t="s">
        <v>321</v>
      </c>
      <c r="D311" s="108">
        <v>2.0</v>
      </c>
      <c r="E311" s="8">
        <f t="shared" si="60"/>
        <v>45769</v>
      </c>
      <c r="F311" s="22">
        <f t="shared" si="40"/>
        <v>45771</v>
      </c>
      <c r="G311" s="70">
        <f t="shared" si="61"/>
        <v>309</v>
      </c>
      <c r="H311" s="7" t="s">
        <v>49</v>
      </c>
    </row>
    <row r="312" ht="18.75" customHeight="1">
      <c r="A312" s="92" t="s">
        <v>322</v>
      </c>
      <c r="B312" s="43">
        <f t="shared" si="2"/>
        <v>311</v>
      </c>
      <c r="C312" s="29" t="s">
        <v>323</v>
      </c>
      <c r="D312" s="7">
        <v>1.0</v>
      </c>
      <c r="E312" s="8">
        <f>F286</f>
        <v>45760</v>
      </c>
      <c r="F312" s="8">
        <f t="shared" si="40"/>
        <v>45761</v>
      </c>
      <c r="G312" s="142">
        <f>B286</f>
        <v>285</v>
      </c>
      <c r="H312" s="7" t="s">
        <v>10</v>
      </c>
    </row>
    <row r="313" ht="18.75" customHeight="1">
      <c r="A313" s="136"/>
      <c r="B313" s="43">
        <f t="shared" si="2"/>
        <v>312</v>
      </c>
      <c r="C313" s="29" t="s">
        <v>324</v>
      </c>
      <c r="D313" s="7">
        <v>2.0</v>
      </c>
      <c r="E313" s="8">
        <f t="shared" ref="E313:E319" si="62">F312</f>
        <v>45761</v>
      </c>
      <c r="F313" s="8">
        <f t="shared" si="40"/>
        <v>45763</v>
      </c>
      <c r="G313" s="70">
        <f t="shared" ref="G313:G319" si="63">B312</f>
        <v>311</v>
      </c>
      <c r="H313" s="7" t="s">
        <v>23</v>
      </c>
    </row>
    <row r="314" ht="18.75" customHeight="1">
      <c r="A314" s="136"/>
      <c r="B314" s="43">
        <f t="shared" si="2"/>
        <v>313</v>
      </c>
      <c r="C314" s="29" t="s">
        <v>325</v>
      </c>
      <c r="D314" s="7">
        <v>4.0</v>
      </c>
      <c r="E314" s="8">
        <f t="shared" si="62"/>
        <v>45763</v>
      </c>
      <c r="F314" s="8">
        <f t="shared" si="40"/>
        <v>45767</v>
      </c>
      <c r="G314" s="70">
        <f t="shared" si="63"/>
        <v>312</v>
      </c>
      <c r="H314" s="7" t="s">
        <v>23</v>
      </c>
    </row>
    <row r="315" ht="18.75" customHeight="1">
      <c r="A315" s="171"/>
      <c r="B315" s="5">
        <f t="shared" si="2"/>
        <v>314</v>
      </c>
      <c r="C315" s="29" t="s">
        <v>326</v>
      </c>
      <c r="D315" s="7">
        <v>2.0</v>
      </c>
      <c r="E315" s="8">
        <f t="shared" si="62"/>
        <v>45767</v>
      </c>
      <c r="F315" s="8">
        <f t="shared" si="40"/>
        <v>45769</v>
      </c>
      <c r="G315" s="70">
        <f t="shared" si="63"/>
        <v>313</v>
      </c>
      <c r="H315" s="7" t="s">
        <v>49</v>
      </c>
    </row>
    <row r="316" ht="18.75" customHeight="1">
      <c r="A316" s="136"/>
      <c r="B316" s="43">
        <f t="shared" si="2"/>
        <v>315</v>
      </c>
      <c r="C316" s="29" t="s">
        <v>327</v>
      </c>
      <c r="D316" s="7">
        <v>1.0</v>
      </c>
      <c r="E316" s="8">
        <f t="shared" si="62"/>
        <v>45769</v>
      </c>
      <c r="F316" s="8">
        <f t="shared" si="40"/>
        <v>45770</v>
      </c>
      <c r="G316" s="70">
        <f t="shared" si="63"/>
        <v>314</v>
      </c>
      <c r="H316" s="7" t="s">
        <v>10</v>
      </c>
    </row>
    <row r="317" ht="18.75" customHeight="1">
      <c r="A317" s="136"/>
      <c r="B317" s="43">
        <f t="shared" si="2"/>
        <v>316</v>
      </c>
      <c r="C317" s="29" t="s">
        <v>328</v>
      </c>
      <c r="D317" s="7">
        <v>2.0</v>
      </c>
      <c r="E317" s="8">
        <f t="shared" si="62"/>
        <v>45770</v>
      </c>
      <c r="F317" s="8">
        <f t="shared" si="40"/>
        <v>45772</v>
      </c>
      <c r="G317" s="70">
        <f t="shared" si="63"/>
        <v>315</v>
      </c>
      <c r="H317" s="7" t="s">
        <v>23</v>
      </c>
    </row>
    <row r="318" ht="18.75" customHeight="1">
      <c r="A318" s="136"/>
      <c r="B318" s="43">
        <f t="shared" si="2"/>
        <v>317</v>
      </c>
      <c r="C318" s="29" t="s">
        <v>329</v>
      </c>
      <c r="D318" s="7">
        <v>4.0</v>
      </c>
      <c r="E318" s="8">
        <f t="shared" si="62"/>
        <v>45772</v>
      </c>
      <c r="F318" s="8">
        <f t="shared" si="40"/>
        <v>45776</v>
      </c>
      <c r="G318" s="70">
        <f t="shared" si="63"/>
        <v>316</v>
      </c>
      <c r="H318" s="7" t="s">
        <v>23</v>
      </c>
    </row>
    <row r="319" ht="18.75" customHeight="1">
      <c r="A319" s="136"/>
      <c r="B319" s="43">
        <f t="shared" si="2"/>
        <v>318</v>
      </c>
      <c r="C319" s="29" t="s">
        <v>330</v>
      </c>
      <c r="D319" s="7">
        <v>2.0</v>
      </c>
      <c r="E319" s="8">
        <f t="shared" si="62"/>
        <v>45776</v>
      </c>
      <c r="F319" s="8">
        <f t="shared" si="40"/>
        <v>45778</v>
      </c>
      <c r="G319" s="9">
        <f t="shared" si="63"/>
        <v>317</v>
      </c>
      <c r="H319" s="7" t="s">
        <v>49</v>
      </c>
    </row>
    <row r="320" ht="18.75" customHeight="1">
      <c r="A320" s="172"/>
      <c r="B320" s="5">
        <f t="shared" si="2"/>
        <v>319</v>
      </c>
      <c r="C320" s="29" t="s">
        <v>331</v>
      </c>
      <c r="D320" s="7">
        <v>1.0</v>
      </c>
      <c r="E320" s="8">
        <f>F286</f>
        <v>45760</v>
      </c>
      <c r="F320" s="8">
        <f t="shared" si="40"/>
        <v>45761</v>
      </c>
      <c r="G320" s="9">
        <f>B286</f>
        <v>285</v>
      </c>
      <c r="H320" s="7" t="s">
        <v>23</v>
      </c>
    </row>
    <row r="321" ht="18.75" customHeight="1">
      <c r="A321" s="173" t="s">
        <v>332</v>
      </c>
      <c r="B321" s="43">
        <f t="shared" si="2"/>
        <v>320</v>
      </c>
      <c r="C321" s="29" t="s">
        <v>333</v>
      </c>
      <c r="D321" s="7">
        <v>1.0</v>
      </c>
      <c r="E321" s="8">
        <f>F286</f>
        <v>45760</v>
      </c>
      <c r="F321" s="8">
        <f t="shared" si="40"/>
        <v>45761</v>
      </c>
      <c r="G321" s="9">
        <f>B286</f>
        <v>285</v>
      </c>
      <c r="H321" s="7" t="s">
        <v>10</v>
      </c>
    </row>
    <row r="322" ht="18.75" customHeight="1">
      <c r="A322" s="173" t="s">
        <v>334</v>
      </c>
      <c r="B322" s="43">
        <f t="shared" si="2"/>
        <v>321</v>
      </c>
      <c r="C322" s="29" t="s">
        <v>335</v>
      </c>
      <c r="D322" s="7">
        <v>2.0</v>
      </c>
      <c r="E322" s="8">
        <f t="shared" ref="E322:E328" si="64">F321</f>
        <v>45761</v>
      </c>
      <c r="F322" s="8">
        <f t="shared" si="40"/>
        <v>45763</v>
      </c>
      <c r="G322" s="70">
        <f t="shared" ref="G322:G328" si="65">B321</f>
        <v>320</v>
      </c>
      <c r="H322" s="7" t="s">
        <v>23</v>
      </c>
    </row>
    <row r="323" ht="18.75" customHeight="1">
      <c r="A323" s="174"/>
      <c r="B323" s="43">
        <f t="shared" si="2"/>
        <v>322</v>
      </c>
      <c r="C323" s="29" t="s">
        <v>336</v>
      </c>
      <c r="D323" s="7">
        <v>4.0</v>
      </c>
      <c r="E323" s="8">
        <f t="shared" si="64"/>
        <v>45763</v>
      </c>
      <c r="F323" s="8">
        <f t="shared" si="40"/>
        <v>45767</v>
      </c>
      <c r="G323" s="9">
        <f t="shared" si="65"/>
        <v>321</v>
      </c>
      <c r="H323" s="7" t="s">
        <v>23</v>
      </c>
    </row>
    <row r="324" ht="18.75" customHeight="1">
      <c r="A324" s="174"/>
      <c r="B324" s="5">
        <f t="shared" si="2"/>
        <v>323</v>
      </c>
      <c r="C324" s="29" t="s">
        <v>337</v>
      </c>
      <c r="D324" s="7">
        <v>2.0</v>
      </c>
      <c r="E324" s="8">
        <f t="shared" si="64"/>
        <v>45767</v>
      </c>
      <c r="F324" s="8">
        <f t="shared" si="40"/>
        <v>45769</v>
      </c>
      <c r="G324" s="9">
        <f t="shared" si="65"/>
        <v>322</v>
      </c>
      <c r="H324" s="7" t="s">
        <v>49</v>
      </c>
    </row>
    <row r="325" ht="18.75" customHeight="1">
      <c r="A325" s="174"/>
      <c r="B325" s="43">
        <f t="shared" si="2"/>
        <v>324</v>
      </c>
      <c r="C325" s="29" t="s">
        <v>338</v>
      </c>
      <c r="D325" s="7">
        <v>1.0</v>
      </c>
      <c r="E325" s="8">
        <f t="shared" si="64"/>
        <v>45769</v>
      </c>
      <c r="F325" s="8">
        <f t="shared" si="40"/>
        <v>45770</v>
      </c>
      <c r="G325" s="9">
        <f t="shared" si="65"/>
        <v>323</v>
      </c>
      <c r="H325" s="7" t="s">
        <v>10</v>
      </c>
    </row>
    <row r="326" ht="18.75" customHeight="1">
      <c r="A326" s="174"/>
      <c r="B326" s="43">
        <f t="shared" si="2"/>
        <v>325</v>
      </c>
      <c r="C326" s="29" t="s">
        <v>339</v>
      </c>
      <c r="D326" s="7">
        <v>2.0</v>
      </c>
      <c r="E326" s="8">
        <f t="shared" si="64"/>
        <v>45770</v>
      </c>
      <c r="F326" s="8">
        <f t="shared" si="40"/>
        <v>45772</v>
      </c>
      <c r="G326" s="9">
        <f t="shared" si="65"/>
        <v>324</v>
      </c>
      <c r="H326" s="7" t="s">
        <v>23</v>
      </c>
    </row>
    <row r="327" ht="18.75" customHeight="1">
      <c r="A327" s="174"/>
      <c r="B327" s="43">
        <f t="shared" si="2"/>
        <v>326</v>
      </c>
      <c r="C327" s="29" t="s">
        <v>340</v>
      </c>
      <c r="D327" s="7">
        <v>4.0</v>
      </c>
      <c r="E327" s="8">
        <f t="shared" si="64"/>
        <v>45772</v>
      </c>
      <c r="F327" s="8">
        <f t="shared" si="40"/>
        <v>45776</v>
      </c>
      <c r="G327" s="9">
        <f t="shared" si="65"/>
        <v>325</v>
      </c>
      <c r="H327" s="7" t="s">
        <v>23</v>
      </c>
    </row>
    <row r="328" ht="18.75" customHeight="1">
      <c r="A328" s="174"/>
      <c r="B328" s="43">
        <f t="shared" si="2"/>
        <v>327</v>
      </c>
      <c r="C328" s="29" t="s">
        <v>341</v>
      </c>
      <c r="D328" s="7">
        <v>2.0</v>
      </c>
      <c r="E328" s="8">
        <f t="shared" si="64"/>
        <v>45776</v>
      </c>
      <c r="F328" s="8">
        <f t="shared" si="40"/>
        <v>45778</v>
      </c>
      <c r="G328" s="9">
        <f t="shared" si="65"/>
        <v>326</v>
      </c>
      <c r="H328" s="7" t="s">
        <v>49</v>
      </c>
    </row>
    <row r="329" ht="18.75" customHeight="1">
      <c r="A329" s="172"/>
      <c r="B329" s="5">
        <f t="shared" si="2"/>
        <v>328</v>
      </c>
      <c r="C329" s="29" t="s">
        <v>342</v>
      </c>
      <c r="D329" s="7">
        <v>1.0</v>
      </c>
      <c r="E329" s="8">
        <f>F286</f>
        <v>45760</v>
      </c>
      <c r="F329" s="8">
        <f t="shared" si="40"/>
        <v>45761</v>
      </c>
      <c r="G329" s="9">
        <f>B286</f>
        <v>285</v>
      </c>
      <c r="H329" s="7" t="s">
        <v>23</v>
      </c>
    </row>
    <row r="330" ht="18.75" customHeight="1">
      <c r="A330" s="173" t="s">
        <v>343</v>
      </c>
      <c r="B330" s="43">
        <f t="shared" si="2"/>
        <v>329</v>
      </c>
      <c r="C330" s="29" t="s">
        <v>344</v>
      </c>
      <c r="D330" s="7">
        <v>1.0</v>
      </c>
      <c r="E330" s="8">
        <f>F286</f>
        <v>45760</v>
      </c>
      <c r="F330" s="8">
        <f t="shared" si="40"/>
        <v>45761</v>
      </c>
      <c r="G330" s="9">
        <f>B286</f>
        <v>285</v>
      </c>
      <c r="H330" s="7" t="s">
        <v>10</v>
      </c>
    </row>
    <row r="331" ht="18.75" customHeight="1">
      <c r="A331" s="174"/>
      <c r="B331" s="43">
        <f t="shared" si="2"/>
        <v>330</v>
      </c>
      <c r="C331" s="29" t="s">
        <v>345</v>
      </c>
      <c r="D331" s="7">
        <v>2.0</v>
      </c>
      <c r="E331" s="8">
        <f t="shared" ref="E331:E337" si="66">F330</f>
        <v>45761</v>
      </c>
      <c r="F331" s="8">
        <f t="shared" si="40"/>
        <v>45763</v>
      </c>
      <c r="G331" s="70">
        <f t="shared" ref="G331:G337" si="67">B330</f>
        <v>329</v>
      </c>
      <c r="H331" s="7" t="s">
        <v>23</v>
      </c>
    </row>
    <row r="332" ht="18.75" customHeight="1">
      <c r="A332" s="174"/>
      <c r="B332" s="43">
        <f t="shared" si="2"/>
        <v>331</v>
      </c>
      <c r="C332" s="29" t="s">
        <v>346</v>
      </c>
      <c r="D332" s="7">
        <v>4.0</v>
      </c>
      <c r="E332" s="8">
        <f t="shared" si="66"/>
        <v>45763</v>
      </c>
      <c r="F332" s="8">
        <f t="shared" si="40"/>
        <v>45767</v>
      </c>
      <c r="G332" s="70">
        <f t="shared" si="67"/>
        <v>330</v>
      </c>
      <c r="H332" s="7" t="s">
        <v>23</v>
      </c>
    </row>
    <row r="333" ht="18.75" customHeight="1">
      <c r="A333" s="174"/>
      <c r="B333" s="5">
        <f t="shared" si="2"/>
        <v>332</v>
      </c>
      <c r="C333" s="29" t="s">
        <v>347</v>
      </c>
      <c r="D333" s="7">
        <v>2.0</v>
      </c>
      <c r="E333" s="8">
        <f t="shared" si="66"/>
        <v>45767</v>
      </c>
      <c r="F333" s="8">
        <f t="shared" si="40"/>
        <v>45769</v>
      </c>
      <c r="G333" s="70">
        <f t="shared" si="67"/>
        <v>331</v>
      </c>
      <c r="H333" s="7" t="s">
        <v>49</v>
      </c>
    </row>
    <row r="334" ht="18.75" customHeight="1">
      <c r="A334" s="174"/>
      <c r="B334" s="43">
        <f t="shared" si="2"/>
        <v>333</v>
      </c>
      <c r="C334" s="29" t="s">
        <v>348</v>
      </c>
      <c r="D334" s="7">
        <v>1.0</v>
      </c>
      <c r="E334" s="8">
        <f t="shared" si="66"/>
        <v>45769</v>
      </c>
      <c r="F334" s="8">
        <f t="shared" si="40"/>
        <v>45770</v>
      </c>
      <c r="G334" s="9">
        <f t="shared" si="67"/>
        <v>332</v>
      </c>
      <c r="H334" s="7" t="s">
        <v>10</v>
      </c>
    </row>
    <row r="335" ht="18.75" customHeight="1">
      <c r="A335" s="174"/>
      <c r="B335" s="43">
        <f t="shared" si="2"/>
        <v>334</v>
      </c>
      <c r="C335" s="29" t="s">
        <v>349</v>
      </c>
      <c r="D335" s="7">
        <v>2.0</v>
      </c>
      <c r="E335" s="8">
        <f t="shared" si="66"/>
        <v>45770</v>
      </c>
      <c r="F335" s="8">
        <f t="shared" si="40"/>
        <v>45772</v>
      </c>
      <c r="G335" s="70">
        <f t="shared" si="67"/>
        <v>333</v>
      </c>
      <c r="H335" s="7" t="s">
        <v>23</v>
      </c>
    </row>
    <row r="336" ht="18.75" customHeight="1">
      <c r="A336" s="174"/>
      <c r="B336" s="43">
        <f t="shared" si="2"/>
        <v>335</v>
      </c>
      <c r="C336" s="29" t="s">
        <v>350</v>
      </c>
      <c r="D336" s="7">
        <v>4.0</v>
      </c>
      <c r="E336" s="8">
        <f t="shared" si="66"/>
        <v>45772</v>
      </c>
      <c r="F336" s="8">
        <f t="shared" si="40"/>
        <v>45776</v>
      </c>
      <c r="G336" s="70">
        <f t="shared" si="67"/>
        <v>334</v>
      </c>
      <c r="H336" s="7" t="s">
        <v>23</v>
      </c>
    </row>
    <row r="337" ht="18.75" customHeight="1">
      <c r="A337" s="174"/>
      <c r="B337" s="43">
        <f t="shared" si="2"/>
        <v>336</v>
      </c>
      <c r="C337" s="29" t="s">
        <v>351</v>
      </c>
      <c r="D337" s="7">
        <v>2.0</v>
      </c>
      <c r="E337" s="8">
        <f t="shared" si="66"/>
        <v>45776</v>
      </c>
      <c r="F337" s="8">
        <f t="shared" si="40"/>
        <v>45778</v>
      </c>
      <c r="G337" s="70">
        <f t="shared" si="67"/>
        <v>335</v>
      </c>
      <c r="H337" s="7" t="s">
        <v>49</v>
      </c>
    </row>
    <row r="338" ht="18.75" customHeight="1">
      <c r="A338" s="137"/>
      <c r="B338" s="5">
        <f t="shared" si="2"/>
        <v>337</v>
      </c>
      <c r="C338" s="29" t="s">
        <v>352</v>
      </c>
      <c r="D338" s="7">
        <v>1.0</v>
      </c>
      <c r="E338" s="8">
        <f>F286</f>
        <v>45760</v>
      </c>
      <c r="F338" s="8">
        <f t="shared" si="40"/>
        <v>45761</v>
      </c>
      <c r="G338" s="9">
        <f>B286</f>
        <v>285</v>
      </c>
      <c r="H338" s="7" t="s">
        <v>23</v>
      </c>
    </row>
    <row r="339" ht="18.75" customHeight="1">
      <c r="A339" s="173" t="s">
        <v>353</v>
      </c>
      <c r="B339" s="43">
        <f t="shared" si="2"/>
        <v>338</v>
      </c>
      <c r="C339" s="29" t="s">
        <v>354</v>
      </c>
      <c r="D339" s="7">
        <v>1.0</v>
      </c>
      <c r="E339" s="8">
        <f>F286</f>
        <v>45760</v>
      </c>
      <c r="F339" s="8">
        <f t="shared" si="40"/>
        <v>45761</v>
      </c>
      <c r="G339" s="9">
        <f>B286</f>
        <v>285</v>
      </c>
      <c r="H339" s="7" t="s">
        <v>10</v>
      </c>
    </row>
    <row r="340" ht="18.75" customHeight="1">
      <c r="A340" s="174"/>
      <c r="B340" s="43">
        <f t="shared" si="2"/>
        <v>339</v>
      </c>
      <c r="C340" s="29" t="s">
        <v>355</v>
      </c>
      <c r="D340" s="7">
        <v>2.0</v>
      </c>
      <c r="E340" s="8">
        <f t="shared" ref="E340:E346" si="68">F339</f>
        <v>45761</v>
      </c>
      <c r="F340" s="8">
        <f t="shared" si="40"/>
        <v>45763</v>
      </c>
      <c r="G340" s="70">
        <f t="shared" ref="G340:G346" si="69">B339</f>
        <v>338</v>
      </c>
      <c r="H340" s="7" t="s">
        <v>23</v>
      </c>
    </row>
    <row r="341" ht="18.75" customHeight="1">
      <c r="A341" s="174"/>
      <c r="B341" s="43">
        <f t="shared" si="2"/>
        <v>340</v>
      </c>
      <c r="C341" s="29" t="s">
        <v>356</v>
      </c>
      <c r="D341" s="7">
        <v>4.0</v>
      </c>
      <c r="E341" s="8">
        <f t="shared" si="68"/>
        <v>45763</v>
      </c>
      <c r="F341" s="8">
        <f t="shared" si="40"/>
        <v>45767</v>
      </c>
      <c r="G341" s="70">
        <f t="shared" si="69"/>
        <v>339</v>
      </c>
      <c r="H341" s="7" t="s">
        <v>23</v>
      </c>
    </row>
    <row r="342" ht="18.75" customHeight="1">
      <c r="A342" s="174"/>
      <c r="B342" s="5">
        <f t="shared" si="2"/>
        <v>341</v>
      </c>
      <c r="C342" s="29" t="s">
        <v>357</v>
      </c>
      <c r="D342" s="7">
        <v>2.0</v>
      </c>
      <c r="E342" s="8">
        <f t="shared" si="68"/>
        <v>45767</v>
      </c>
      <c r="F342" s="8">
        <f t="shared" si="40"/>
        <v>45769</v>
      </c>
      <c r="G342" s="70">
        <f t="shared" si="69"/>
        <v>340</v>
      </c>
      <c r="H342" s="7" t="s">
        <v>49</v>
      </c>
    </row>
    <row r="343" ht="18.75" customHeight="1">
      <c r="A343" s="174"/>
      <c r="B343" s="43">
        <f t="shared" si="2"/>
        <v>342</v>
      </c>
      <c r="C343" s="29" t="s">
        <v>358</v>
      </c>
      <c r="D343" s="7">
        <v>1.0</v>
      </c>
      <c r="E343" s="8">
        <f t="shared" si="68"/>
        <v>45769</v>
      </c>
      <c r="F343" s="8">
        <f t="shared" si="40"/>
        <v>45770</v>
      </c>
      <c r="G343" s="70">
        <f t="shared" si="69"/>
        <v>341</v>
      </c>
      <c r="H343" s="7" t="s">
        <v>10</v>
      </c>
    </row>
    <row r="344" ht="18.75" customHeight="1">
      <c r="A344" s="174"/>
      <c r="B344" s="43">
        <f t="shared" si="2"/>
        <v>343</v>
      </c>
      <c r="C344" s="29" t="s">
        <v>359</v>
      </c>
      <c r="D344" s="7">
        <v>2.0</v>
      </c>
      <c r="E344" s="8">
        <f t="shared" si="68"/>
        <v>45770</v>
      </c>
      <c r="F344" s="8">
        <f t="shared" si="40"/>
        <v>45772</v>
      </c>
      <c r="G344" s="70">
        <f t="shared" si="69"/>
        <v>342</v>
      </c>
      <c r="H344" s="7" t="s">
        <v>23</v>
      </c>
    </row>
    <row r="345" ht="18.75" customHeight="1">
      <c r="A345" s="174"/>
      <c r="B345" s="43">
        <f t="shared" si="2"/>
        <v>344</v>
      </c>
      <c r="C345" s="29" t="s">
        <v>360</v>
      </c>
      <c r="D345" s="7">
        <v>4.0</v>
      </c>
      <c r="E345" s="8">
        <f t="shared" si="68"/>
        <v>45772</v>
      </c>
      <c r="F345" s="8">
        <f t="shared" si="40"/>
        <v>45776</v>
      </c>
      <c r="G345" s="70">
        <f t="shared" si="69"/>
        <v>343</v>
      </c>
      <c r="H345" s="7" t="s">
        <v>23</v>
      </c>
    </row>
    <row r="346" ht="18.75" customHeight="1">
      <c r="A346" s="174"/>
      <c r="B346" s="43">
        <f t="shared" si="2"/>
        <v>345</v>
      </c>
      <c r="C346" s="29" t="s">
        <v>361</v>
      </c>
      <c r="D346" s="7">
        <v>2.0</v>
      </c>
      <c r="E346" s="8">
        <f t="shared" si="68"/>
        <v>45776</v>
      </c>
      <c r="F346" s="8">
        <f t="shared" si="40"/>
        <v>45778</v>
      </c>
      <c r="G346" s="70">
        <f t="shared" si="69"/>
        <v>344</v>
      </c>
      <c r="H346" s="7" t="s">
        <v>49</v>
      </c>
    </row>
    <row r="347" ht="18.75" customHeight="1">
      <c r="A347" s="137"/>
      <c r="B347" s="175">
        <f t="shared" si="2"/>
        <v>346</v>
      </c>
      <c r="C347" s="29" t="s">
        <v>362</v>
      </c>
      <c r="D347" s="7">
        <v>1.0</v>
      </c>
      <c r="E347" s="8">
        <f>F286</f>
        <v>45760</v>
      </c>
      <c r="F347" s="24">
        <f t="shared" si="40"/>
        <v>45761</v>
      </c>
      <c r="G347" s="107">
        <f>B286</f>
        <v>285</v>
      </c>
      <c r="H347" s="7" t="s">
        <v>23</v>
      </c>
    </row>
    <row r="348" ht="18.75" customHeight="1">
      <c r="A348" s="173" t="s">
        <v>363</v>
      </c>
      <c r="B348" s="43">
        <f t="shared" si="2"/>
        <v>347</v>
      </c>
      <c r="C348" s="29" t="s">
        <v>364</v>
      </c>
      <c r="D348" s="7">
        <v>1.0</v>
      </c>
      <c r="E348" s="8">
        <f>F286</f>
        <v>45760</v>
      </c>
      <c r="F348" s="8">
        <f t="shared" si="40"/>
        <v>45761</v>
      </c>
      <c r="G348" s="9">
        <f>B286</f>
        <v>285</v>
      </c>
      <c r="H348" s="7" t="s">
        <v>10</v>
      </c>
    </row>
    <row r="349" ht="18.75" customHeight="1">
      <c r="A349" s="174"/>
      <c r="B349" s="43">
        <f t="shared" si="2"/>
        <v>348</v>
      </c>
      <c r="C349" s="29" t="s">
        <v>365</v>
      </c>
      <c r="D349" s="7">
        <v>2.0</v>
      </c>
      <c r="E349" s="8">
        <f t="shared" ref="E349:E355" si="70">F348</f>
        <v>45761</v>
      </c>
      <c r="F349" s="8">
        <f t="shared" si="40"/>
        <v>45763</v>
      </c>
      <c r="G349" s="70">
        <f t="shared" ref="G349:G355" si="71">B348</f>
        <v>347</v>
      </c>
      <c r="H349" s="7" t="s">
        <v>23</v>
      </c>
    </row>
    <row r="350" ht="18.75" customHeight="1">
      <c r="A350" s="174"/>
      <c r="B350" s="43">
        <f t="shared" si="2"/>
        <v>349</v>
      </c>
      <c r="C350" s="29" t="s">
        <v>366</v>
      </c>
      <c r="D350" s="7">
        <v>4.0</v>
      </c>
      <c r="E350" s="8">
        <f t="shared" si="70"/>
        <v>45763</v>
      </c>
      <c r="F350" s="8">
        <f t="shared" si="40"/>
        <v>45767</v>
      </c>
      <c r="G350" s="70">
        <f t="shared" si="71"/>
        <v>348</v>
      </c>
      <c r="H350" s="7" t="s">
        <v>23</v>
      </c>
    </row>
    <row r="351" ht="18.75" customHeight="1">
      <c r="A351" s="174"/>
      <c r="B351" s="5">
        <f t="shared" si="2"/>
        <v>350</v>
      </c>
      <c r="C351" s="29" t="s">
        <v>367</v>
      </c>
      <c r="D351" s="7">
        <v>2.0</v>
      </c>
      <c r="E351" s="8">
        <f t="shared" si="70"/>
        <v>45767</v>
      </c>
      <c r="F351" s="8">
        <f t="shared" si="40"/>
        <v>45769</v>
      </c>
      <c r="G351" s="70">
        <f t="shared" si="71"/>
        <v>349</v>
      </c>
      <c r="H351" s="7" t="s">
        <v>49</v>
      </c>
    </row>
    <row r="352" ht="18.75" customHeight="1">
      <c r="A352" s="174"/>
      <c r="B352" s="43">
        <f t="shared" si="2"/>
        <v>351</v>
      </c>
      <c r="C352" s="29" t="s">
        <v>368</v>
      </c>
      <c r="D352" s="7">
        <v>1.0</v>
      </c>
      <c r="E352" s="8">
        <f t="shared" si="70"/>
        <v>45769</v>
      </c>
      <c r="F352" s="8">
        <f t="shared" si="40"/>
        <v>45770</v>
      </c>
      <c r="G352" s="70">
        <f t="shared" si="71"/>
        <v>350</v>
      </c>
      <c r="H352" s="7" t="s">
        <v>10</v>
      </c>
    </row>
    <row r="353" ht="18.75" customHeight="1">
      <c r="A353" s="174"/>
      <c r="B353" s="43">
        <f t="shared" si="2"/>
        <v>352</v>
      </c>
      <c r="C353" s="29" t="s">
        <v>369</v>
      </c>
      <c r="D353" s="7">
        <v>2.0</v>
      </c>
      <c r="E353" s="8">
        <f t="shared" si="70"/>
        <v>45770</v>
      </c>
      <c r="F353" s="8">
        <f t="shared" si="40"/>
        <v>45772</v>
      </c>
      <c r="G353" s="70">
        <f t="shared" si="71"/>
        <v>351</v>
      </c>
      <c r="H353" s="7" t="s">
        <v>23</v>
      </c>
    </row>
    <row r="354" ht="18.75" customHeight="1">
      <c r="A354" s="174"/>
      <c r="B354" s="43">
        <f t="shared" si="2"/>
        <v>353</v>
      </c>
      <c r="C354" s="29" t="s">
        <v>370</v>
      </c>
      <c r="D354" s="7">
        <v>4.0</v>
      </c>
      <c r="E354" s="8">
        <f t="shared" si="70"/>
        <v>45772</v>
      </c>
      <c r="F354" s="8">
        <f t="shared" si="40"/>
        <v>45776</v>
      </c>
      <c r="G354" s="70">
        <f t="shared" si="71"/>
        <v>352</v>
      </c>
      <c r="H354" s="7" t="s">
        <v>23</v>
      </c>
    </row>
    <row r="355" ht="18.75" customHeight="1">
      <c r="A355" s="174"/>
      <c r="B355" s="43">
        <f t="shared" si="2"/>
        <v>354</v>
      </c>
      <c r="C355" s="29" t="s">
        <v>371</v>
      </c>
      <c r="D355" s="7">
        <v>2.0</v>
      </c>
      <c r="E355" s="8">
        <f t="shared" si="70"/>
        <v>45776</v>
      </c>
      <c r="F355" s="8">
        <f t="shared" si="40"/>
        <v>45778</v>
      </c>
      <c r="G355" s="70">
        <f t="shared" si="71"/>
        <v>353</v>
      </c>
      <c r="H355" s="7" t="s">
        <v>49</v>
      </c>
    </row>
    <row r="356" ht="18.75" customHeight="1">
      <c r="A356" s="137"/>
      <c r="B356" s="175">
        <f t="shared" si="2"/>
        <v>355</v>
      </c>
      <c r="C356" s="29" t="s">
        <v>372</v>
      </c>
      <c r="D356" s="7">
        <v>1.0</v>
      </c>
      <c r="E356" s="8">
        <f>F286</f>
        <v>45760</v>
      </c>
      <c r="F356" s="24">
        <f t="shared" si="40"/>
        <v>45761</v>
      </c>
      <c r="G356" s="107">
        <f>B286</f>
        <v>285</v>
      </c>
      <c r="H356" s="7" t="s">
        <v>23</v>
      </c>
    </row>
    <row r="357" ht="18.75" customHeight="1">
      <c r="A357" s="176" t="s">
        <v>373</v>
      </c>
      <c r="B357" s="43">
        <f t="shared" si="2"/>
        <v>356</v>
      </c>
      <c r="C357" s="42" t="s">
        <v>374</v>
      </c>
      <c r="D357" s="7">
        <v>1.0</v>
      </c>
      <c r="E357" s="8">
        <f>F286</f>
        <v>45760</v>
      </c>
      <c r="F357" s="8">
        <f t="shared" si="40"/>
        <v>45761</v>
      </c>
      <c r="G357" s="9">
        <f>B286</f>
        <v>285</v>
      </c>
      <c r="H357" s="7" t="s">
        <v>10</v>
      </c>
    </row>
    <row r="358" ht="18.75" customHeight="1">
      <c r="A358" s="176" t="s">
        <v>375</v>
      </c>
      <c r="B358" s="43">
        <f t="shared" si="2"/>
        <v>357</v>
      </c>
      <c r="C358" s="42" t="s">
        <v>376</v>
      </c>
      <c r="D358" s="7">
        <v>2.0</v>
      </c>
      <c r="E358" s="8">
        <f t="shared" ref="E358:E360" si="72">F357</f>
        <v>45761</v>
      </c>
      <c r="F358" s="8">
        <f t="shared" si="40"/>
        <v>45763</v>
      </c>
      <c r="G358" s="70">
        <f t="shared" ref="G358:G360" si="73">B357</f>
        <v>356</v>
      </c>
      <c r="H358" s="7" t="s">
        <v>23</v>
      </c>
    </row>
    <row r="359" ht="18.75" customHeight="1">
      <c r="A359" s="177"/>
      <c r="B359" s="43">
        <f t="shared" si="2"/>
        <v>358</v>
      </c>
      <c r="C359" s="42" t="s">
        <v>377</v>
      </c>
      <c r="D359" s="7">
        <v>4.0</v>
      </c>
      <c r="E359" s="8">
        <f t="shared" si="72"/>
        <v>45763</v>
      </c>
      <c r="F359" s="8">
        <f t="shared" si="40"/>
        <v>45767</v>
      </c>
      <c r="G359" s="70">
        <f t="shared" si="73"/>
        <v>357</v>
      </c>
      <c r="H359" s="7" t="s">
        <v>23</v>
      </c>
    </row>
    <row r="360" ht="18.75" customHeight="1">
      <c r="A360" s="177"/>
      <c r="B360" s="5">
        <f t="shared" si="2"/>
        <v>359</v>
      </c>
      <c r="C360" s="42" t="s">
        <v>378</v>
      </c>
      <c r="D360" s="7">
        <v>2.0</v>
      </c>
      <c r="E360" s="8">
        <f t="shared" si="72"/>
        <v>45767</v>
      </c>
      <c r="F360" s="8">
        <f t="shared" si="40"/>
        <v>45769</v>
      </c>
      <c r="G360" s="70">
        <f t="shared" si="73"/>
        <v>358</v>
      </c>
      <c r="H360" s="7" t="s">
        <v>49</v>
      </c>
    </row>
    <row r="361" ht="18.75" customHeight="1">
      <c r="A361" s="177"/>
      <c r="B361" s="43">
        <f t="shared" si="2"/>
        <v>360</v>
      </c>
      <c r="C361" s="42" t="s">
        <v>379</v>
      </c>
      <c r="D361" s="7">
        <v>1.0</v>
      </c>
      <c r="E361" s="8">
        <f>F286</f>
        <v>45760</v>
      </c>
      <c r="F361" s="8">
        <f t="shared" si="40"/>
        <v>45761</v>
      </c>
      <c r="G361" s="70">
        <f>B286</f>
        <v>285</v>
      </c>
      <c r="H361" s="7" t="s">
        <v>10</v>
      </c>
    </row>
    <row r="362" ht="18.75" customHeight="1">
      <c r="A362" s="177"/>
      <c r="B362" s="43">
        <f t="shared" si="2"/>
        <v>361</v>
      </c>
      <c r="C362" s="42" t="s">
        <v>380</v>
      </c>
      <c r="D362" s="7">
        <v>2.0</v>
      </c>
      <c r="E362" s="8">
        <f t="shared" ref="E362:E364" si="74">F361</f>
        <v>45761</v>
      </c>
      <c r="F362" s="8">
        <f t="shared" si="40"/>
        <v>45763</v>
      </c>
      <c r="G362" s="70">
        <f t="shared" ref="G362:G364" si="75">B361</f>
        <v>360</v>
      </c>
      <c r="H362" s="7" t="s">
        <v>23</v>
      </c>
    </row>
    <row r="363" ht="18.75" customHeight="1">
      <c r="A363" s="177"/>
      <c r="B363" s="43">
        <f t="shared" si="2"/>
        <v>362</v>
      </c>
      <c r="C363" s="42" t="s">
        <v>381</v>
      </c>
      <c r="D363" s="7">
        <v>4.0</v>
      </c>
      <c r="E363" s="8">
        <f t="shared" si="74"/>
        <v>45763</v>
      </c>
      <c r="F363" s="8">
        <f t="shared" si="40"/>
        <v>45767</v>
      </c>
      <c r="G363" s="70">
        <f t="shared" si="75"/>
        <v>361</v>
      </c>
      <c r="H363" s="7" t="s">
        <v>23</v>
      </c>
    </row>
    <row r="364" ht="18.75" customHeight="1">
      <c r="A364" s="177"/>
      <c r="B364" s="43">
        <f t="shared" si="2"/>
        <v>363</v>
      </c>
      <c r="C364" s="42" t="s">
        <v>382</v>
      </c>
      <c r="D364" s="7">
        <v>2.0</v>
      </c>
      <c r="E364" s="8">
        <f t="shared" si="74"/>
        <v>45767</v>
      </c>
      <c r="F364" s="8">
        <f t="shared" si="40"/>
        <v>45769</v>
      </c>
      <c r="G364" s="70">
        <f t="shared" si="75"/>
        <v>362</v>
      </c>
      <c r="H364" s="7" t="s">
        <v>49</v>
      </c>
    </row>
    <row r="365" ht="18.75" customHeight="1">
      <c r="A365" s="178"/>
      <c r="B365" s="5">
        <f t="shared" si="2"/>
        <v>364</v>
      </c>
      <c r="C365" s="42" t="s">
        <v>383</v>
      </c>
      <c r="D365" s="7">
        <v>1.0</v>
      </c>
      <c r="E365" s="8">
        <f>F286</f>
        <v>45760</v>
      </c>
      <c r="F365" s="8">
        <f t="shared" si="40"/>
        <v>45761</v>
      </c>
      <c r="G365" s="70">
        <f>B286</f>
        <v>285</v>
      </c>
      <c r="H365" s="7" t="s">
        <v>10</v>
      </c>
    </row>
    <row r="366" ht="18.75" customHeight="1">
      <c r="A366" s="177"/>
      <c r="B366" s="43">
        <f t="shared" si="2"/>
        <v>365</v>
      </c>
      <c r="C366" s="42" t="s">
        <v>384</v>
      </c>
      <c r="D366" s="7">
        <v>2.0</v>
      </c>
      <c r="E366" s="8">
        <f t="shared" ref="E366:E368" si="76">F365</f>
        <v>45761</v>
      </c>
      <c r="F366" s="8">
        <f t="shared" si="40"/>
        <v>45763</v>
      </c>
      <c r="G366" s="70">
        <f t="shared" ref="G366:G368" si="77">B365</f>
        <v>364</v>
      </c>
      <c r="H366" s="7" t="s">
        <v>23</v>
      </c>
    </row>
    <row r="367" ht="18.75" customHeight="1">
      <c r="A367" s="177"/>
      <c r="B367" s="43">
        <f t="shared" si="2"/>
        <v>366</v>
      </c>
      <c r="C367" s="42" t="s">
        <v>385</v>
      </c>
      <c r="D367" s="7">
        <v>4.0</v>
      </c>
      <c r="E367" s="8">
        <f t="shared" si="76"/>
        <v>45763</v>
      </c>
      <c r="F367" s="8">
        <f t="shared" si="40"/>
        <v>45767</v>
      </c>
      <c r="G367" s="70">
        <f t="shared" si="77"/>
        <v>365</v>
      </c>
      <c r="H367" s="7" t="s">
        <v>23</v>
      </c>
    </row>
    <row r="368" ht="18.75" customHeight="1">
      <c r="A368" s="177"/>
      <c r="B368" s="5">
        <f t="shared" si="2"/>
        <v>367</v>
      </c>
      <c r="C368" s="42" t="s">
        <v>386</v>
      </c>
      <c r="D368" s="7">
        <v>2.0</v>
      </c>
      <c r="E368" s="8">
        <f t="shared" si="76"/>
        <v>45767</v>
      </c>
      <c r="F368" s="8">
        <f t="shared" si="40"/>
        <v>45769</v>
      </c>
      <c r="G368" s="70">
        <f t="shared" si="77"/>
        <v>366</v>
      </c>
      <c r="H368" s="7" t="s">
        <v>49</v>
      </c>
    </row>
    <row r="369" ht="18.75" customHeight="1">
      <c r="A369" s="177"/>
      <c r="B369" s="43">
        <f t="shared" si="2"/>
        <v>368</v>
      </c>
      <c r="C369" s="42" t="s">
        <v>387</v>
      </c>
      <c r="D369" s="7">
        <v>1.0</v>
      </c>
      <c r="E369" s="8">
        <f>F286</f>
        <v>45760</v>
      </c>
      <c r="F369" s="8">
        <f t="shared" si="40"/>
        <v>45761</v>
      </c>
      <c r="G369" s="70">
        <f>B286</f>
        <v>285</v>
      </c>
      <c r="H369" s="7" t="s">
        <v>10</v>
      </c>
    </row>
    <row r="370" ht="18.75" customHeight="1">
      <c r="A370" s="177"/>
      <c r="B370" s="43">
        <f t="shared" si="2"/>
        <v>369</v>
      </c>
      <c r="C370" s="42" t="s">
        <v>388</v>
      </c>
      <c r="D370" s="7">
        <v>2.0</v>
      </c>
      <c r="E370" s="8">
        <f t="shared" ref="E370:E372" si="78">F369</f>
        <v>45761</v>
      </c>
      <c r="F370" s="8">
        <f t="shared" si="40"/>
        <v>45763</v>
      </c>
      <c r="G370" s="70">
        <f t="shared" ref="G370:G372" si="79">B369</f>
        <v>368</v>
      </c>
      <c r="H370" s="7" t="s">
        <v>23</v>
      </c>
    </row>
    <row r="371" ht="18.75" customHeight="1">
      <c r="A371" s="177"/>
      <c r="B371" s="43">
        <f t="shared" si="2"/>
        <v>370</v>
      </c>
      <c r="C371" s="42" t="s">
        <v>389</v>
      </c>
      <c r="D371" s="7">
        <v>4.0</v>
      </c>
      <c r="E371" s="8">
        <f t="shared" si="78"/>
        <v>45763</v>
      </c>
      <c r="F371" s="8">
        <f t="shared" si="40"/>
        <v>45767</v>
      </c>
      <c r="G371" s="70">
        <f t="shared" si="79"/>
        <v>369</v>
      </c>
      <c r="H371" s="7" t="s">
        <v>23</v>
      </c>
    </row>
    <row r="372" ht="18.75" customHeight="1">
      <c r="A372" s="179"/>
      <c r="B372" s="5">
        <f t="shared" si="2"/>
        <v>371</v>
      </c>
      <c r="C372" s="42" t="s">
        <v>390</v>
      </c>
      <c r="D372" s="7">
        <v>2.0</v>
      </c>
      <c r="E372" s="8">
        <f t="shared" si="78"/>
        <v>45767</v>
      </c>
      <c r="F372" s="8">
        <f t="shared" si="40"/>
        <v>45769</v>
      </c>
      <c r="G372" s="70">
        <f t="shared" si="79"/>
        <v>370</v>
      </c>
      <c r="H372" s="7" t="s">
        <v>49</v>
      </c>
    </row>
    <row r="373" ht="18.75" customHeight="1">
      <c r="A373" s="178"/>
      <c r="B373" s="5">
        <f t="shared" si="2"/>
        <v>372</v>
      </c>
      <c r="C373" s="46" t="s">
        <v>391</v>
      </c>
      <c r="D373" s="21">
        <v>1.0</v>
      </c>
      <c r="E373" s="8">
        <f t="shared" ref="E373:E376" si="80">F286</f>
        <v>45760</v>
      </c>
      <c r="F373" s="8">
        <f t="shared" si="40"/>
        <v>45761</v>
      </c>
      <c r="G373" s="9">
        <f t="shared" ref="G373:G376" si="81">B286</f>
        <v>285</v>
      </c>
      <c r="H373" s="7" t="s">
        <v>10</v>
      </c>
    </row>
    <row r="374" ht="18.75" customHeight="1">
      <c r="A374" s="176"/>
      <c r="B374" s="5">
        <f t="shared" si="2"/>
        <v>373</v>
      </c>
      <c r="C374" s="46" t="s">
        <v>392</v>
      </c>
      <c r="D374" s="23">
        <v>1.0</v>
      </c>
      <c r="E374" s="8">
        <f t="shared" si="80"/>
        <v>45761</v>
      </c>
      <c r="F374" s="8">
        <f t="shared" si="40"/>
        <v>45762</v>
      </c>
      <c r="G374" s="9">
        <f t="shared" si="81"/>
        <v>286</v>
      </c>
      <c r="H374" s="7" t="s">
        <v>23</v>
      </c>
    </row>
    <row r="375" ht="18.75" customHeight="1">
      <c r="A375" s="176"/>
      <c r="B375" s="5">
        <f t="shared" si="2"/>
        <v>374</v>
      </c>
      <c r="C375" s="46" t="s">
        <v>393</v>
      </c>
      <c r="D375" s="21">
        <v>2.0</v>
      </c>
      <c r="E375" s="8">
        <f t="shared" si="80"/>
        <v>45762</v>
      </c>
      <c r="F375" s="8">
        <f t="shared" si="40"/>
        <v>45764</v>
      </c>
      <c r="G375" s="9">
        <f t="shared" si="81"/>
        <v>287</v>
      </c>
      <c r="H375" s="7" t="s">
        <v>23</v>
      </c>
    </row>
    <row r="376" ht="18.75" customHeight="1">
      <c r="A376" s="176"/>
      <c r="B376" s="5">
        <f t="shared" si="2"/>
        <v>375</v>
      </c>
      <c r="C376" s="46" t="s">
        <v>394</v>
      </c>
      <c r="D376" s="74">
        <v>1.0</v>
      </c>
      <c r="E376" s="8">
        <f t="shared" si="80"/>
        <v>45764</v>
      </c>
      <c r="F376" s="8">
        <f t="shared" si="40"/>
        <v>45765</v>
      </c>
      <c r="G376" s="9">
        <f t="shared" si="81"/>
        <v>288</v>
      </c>
      <c r="H376" s="7" t="s">
        <v>49</v>
      </c>
    </row>
    <row r="377" ht="18.75" customHeight="1">
      <c r="A377" s="173" t="s">
        <v>373</v>
      </c>
      <c r="B377" s="43">
        <f t="shared" si="2"/>
        <v>376</v>
      </c>
      <c r="C377" s="29" t="s">
        <v>395</v>
      </c>
      <c r="D377" s="7">
        <v>1.0</v>
      </c>
      <c r="E377" s="8">
        <f>F286</f>
        <v>45760</v>
      </c>
      <c r="F377" s="8">
        <f t="shared" si="40"/>
        <v>45761</v>
      </c>
      <c r="G377" s="9">
        <f>B286</f>
        <v>285</v>
      </c>
      <c r="H377" s="7" t="s">
        <v>10</v>
      </c>
    </row>
    <row r="378" ht="18.75" customHeight="1">
      <c r="A378" s="173" t="s">
        <v>396</v>
      </c>
      <c r="B378" s="43">
        <f t="shared" si="2"/>
        <v>377</v>
      </c>
      <c r="C378" s="29" t="s">
        <v>397</v>
      </c>
      <c r="D378" s="7">
        <v>2.0</v>
      </c>
      <c r="E378" s="8">
        <f t="shared" ref="E378:E380" si="82">F377</f>
        <v>45761</v>
      </c>
      <c r="F378" s="8">
        <f t="shared" si="40"/>
        <v>45763</v>
      </c>
      <c r="G378" s="70">
        <f t="shared" ref="G378:G380" si="83">B377</f>
        <v>376</v>
      </c>
      <c r="H378" s="7" t="s">
        <v>23</v>
      </c>
    </row>
    <row r="379" ht="18.75" customHeight="1">
      <c r="A379" s="174"/>
      <c r="B379" s="43">
        <f t="shared" si="2"/>
        <v>378</v>
      </c>
      <c r="C379" s="29" t="s">
        <v>398</v>
      </c>
      <c r="D379" s="7">
        <v>4.0</v>
      </c>
      <c r="E379" s="8">
        <f t="shared" si="82"/>
        <v>45763</v>
      </c>
      <c r="F379" s="8">
        <f t="shared" si="40"/>
        <v>45767</v>
      </c>
      <c r="G379" s="70">
        <f t="shared" si="83"/>
        <v>377</v>
      </c>
      <c r="H379" s="7" t="s">
        <v>23</v>
      </c>
    </row>
    <row r="380" ht="18.75" customHeight="1">
      <c r="A380" s="174"/>
      <c r="B380" s="5">
        <f t="shared" si="2"/>
        <v>379</v>
      </c>
      <c r="C380" s="29" t="s">
        <v>399</v>
      </c>
      <c r="D380" s="7">
        <v>2.0</v>
      </c>
      <c r="E380" s="8">
        <f t="shared" si="82"/>
        <v>45767</v>
      </c>
      <c r="F380" s="8">
        <f t="shared" si="40"/>
        <v>45769</v>
      </c>
      <c r="G380" s="70">
        <f t="shared" si="83"/>
        <v>378</v>
      </c>
      <c r="H380" s="7" t="s">
        <v>49</v>
      </c>
    </row>
    <row r="381" ht="18.75" customHeight="1">
      <c r="A381" s="174"/>
      <c r="B381" s="43">
        <f t="shared" si="2"/>
        <v>380</v>
      </c>
      <c r="C381" s="29" t="s">
        <v>400</v>
      </c>
      <c r="D381" s="7">
        <v>1.0</v>
      </c>
      <c r="E381" s="8">
        <f>F286</f>
        <v>45760</v>
      </c>
      <c r="F381" s="8">
        <f t="shared" si="40"/>
        <v>45761</v>
      </c>
      <c r="G381" s="70">
        <f>B286</f>
        <v>285</v>
      </c>
      <c r="H381" s="7" t="s">
        <v>10</v>
      </c>
    </row>
    <row r="382" ht="18.75" customHeight="1">
      <c r="A382" s="174"/>
      <c r="B382" s="43">
        <f t="shared" si="2"/>
        <v>381</v>
      </c>
      <c r="C382" s="29" t="s">
        <v>401</v>
      </c>
      <c r="D382" s="7">
        <v>2.0</v>
      </c>
      <c r="E382" s="8">
        <f t="shared" ref="E382:E384" si="84">F381</f>
        <v>45761</v>
      </c>
      <c r="F382" s="8">
        <f t="shared" si="40"/>
        <v>45763</v>
      </c>
      <c r="G382" s="70">
        <f t="shared" ref="G382:G384" si="85">B381</f>
        <v>380</v>
      </c>
      <c r="H382" s="7" t="s">
        <v>23</v>
      </c>
    </row>
    <row r="383" ht="18.75" customHeight="1">
      <c r="A383" s="174"/>
      <c r="B383" s="43">
        <f t="shared" si="2"/>
        <v>382</v>
      </c>
      <c r="C383" s="29" t="s">
        <v>402</v>
      </c>
      <c r="D383" s="7">
        <v>4.0</v>
      </c>
      <c r="E383" s="8">
        <f t="shared" si="84"/>
        <v>45763</v>
      </c>
      <c r="F383" s="8">
        <f t="shared" si="40"/>
        <v>45767</v>
      </c>
      <c r="G383" s="70">
        <f t="shared" si="85"/>
        <v>381</v>
      </c>
      <c r="H383" s="7" t="s">
        <v>23</v>
      </c>
    </row>
    <row r="384" ht="18.75" customHeight="1">
      <c r="A384" s="171"/>
      <c r="B384" s="5">
        <f t="shared" si="2"/>
        <v>383</v>
      </c>
      <c r="C384" s="29" t="s">
        <v>403</v>
      </c>
      <c r="D384" s="7">
        <v>2.0</v>
      </c>
      <c r="E384" s="8">
        <f t="shared" si="84"/>
        <v>45767</v>
      </c>
      <c r="F384" s="8">
        <f t="shared" si="40"/>
        <v>45769</v>
      </c>
      <c r="G384" s="70">
        <f t="shared" si="85"/>
        <v>382</v>
      </c>
      <c r="H384" s="7" t="s">
        <v>49</v>
      </c>
    </row>
    <row r="385" ht="18.75" customHeight="1">
      <c r="A385" s="171"/>
      <c r="B385" s="5">
        <f t="shared" si="2"/>
        <v>384</v>
      </c>
      <c r="C385" s="29" t="s">
        <v>404</v>
      </c>
      <c r="D385" s="7">
        <v>1.0</v>
      </c>
      <c r="E385" s="8">
        <f>F286</f>
        <v>45760</v>
      </c>
      <c r="F385" s="8">
        <f t="shared" si="40"/>
        <v>45761</v>
      </c>
      <c r="G385" s="70">
        <f>B286</f>
        <v>285</v>
      </c>
      <c r="H385" s="7" t="s">
        <v>10</v>
      </c>
    </row>
    <row r="386" ht="18.75" customHeight="1">
      <c r="A386" s="171"/>
      <c r="B386" s="5">
        <f t="shared" si="2"/>
        <v>385</v>
      </c>
      <c r="C386" s="29" t="s">
        <v>405</v>
      </c>
      <c r="D386" s="7">
        <v>2.0</v>
      </c>
      <c r="E386" s="8">
        <f t="shared" ref="E386:E388" si="86">F385</f>
        <v>45761</v>
      </c>
      <c r="F386" s="8">
        <f t="shared" si="40"/>
        <v>45763</v>
      </c>
      <c r="G386" s="70">
        <f t="shared" ref="G386:G388" si="87">B385</f>
        <v>384</v>
      </c>
      <c r="H386" s="7" t="s">
        <v>23</v>
      </c>
    </row>
    <row r="387" ht="18.75" customHeight="1">
      <c r="A387" s="171"/>
      <c r="B387" s="5">
        <f t="shared" si="2"/>
        <v>386</v>
      </c>
      <c r="C387" s="29" t="s">
        <v>406</v>
      </c>
      <c r="D387" s="7">
        <v>4.0</v>
      </c>
      <c r="E387" s="8">
        <f t="shared" si="86"/>
        <v>45763</v>
      </c>
      <c r="F387" s="8">
        <f t="shared" si="40"/>
        <v>45767</v>
      </c>
      <c r="G387" s="70">
        <f t="shared" si="87"/>
        <v>385</v>
      </c>
      <c r="H387" s="7" t="s">
        <v>23</v>
      </c>
    </row>
    <row r="388" ht="18.75" customHeight="1">
      <c r="A388" s="171"/>
      <c r="B388" s="5">
        <f t="shared" si="2"/>
        <v>387</v>
      </c>
      <c r="C388" s="29" t="s">
        <v>407</v>
      </c>
      <c r="D388" s="7">
        <v>2.0</v>
      </c>
      <c r="E388" s="8">
        <f t="shared" si="86"/>
        <v>45767</v>
      </c>
      <c r="F388" s="8">
        <f t="shared" si="40"/>
        <v>45769</v>
      </c>
      <c r="G388" s="70">
        <f t="shared" si="87"/>
        <v>386</v>
      </c>
      <c r="H388" s="7" t="s">
        <v>49</v>
      </c>
    </row>
    <row r="389" ht="18.75" customHeight="1">
      <c r="A389" s="171"/>
      <c r="B389" s="5">
        <f t="shared" si="2"/>
        <v>388</v>
      </c>
      <c r="C389" s="29" t="s">
        <v>408</v>
      </c>
      <c r="D389" s="7">
        <v>1.0</v>
      </c>
      <c r="E389" s="8">
        <f>F286</f>
        <v>45760</v>
      </c>
      <c r="F389" s="8">
        <f t="shared" si="40"/>
        <v>45761</v>
      </c>
      <c r="G389" s="70">
        <f>B286</f>
        <v>285</v>
      </c>
      <c r="H389" s="7" t="s">
        <v>10</v>
      </c>
    </row>
    <row r="390" ht="18.75" customHeight="1">
      <c r="A390" s="171"/>
      <c r="B390" s="5">
        <f t="shared" si="2"/>
        <v>389</v>
      </c>
      <c r="C390" s="29" t="s">
        <v>409</v>
      </c>
      <c r="D390" s="7">
        <v>2.0</v>
      </c>
      <c r="E390" s="8">
        <f t="shared" ref="E390:E392" si="88">F389</f>
        <v>45761</v>
      </c>
      <c r="F390" s="8">
        <f t="shared" si="40"/>
        <v>45763</v>
      </c>
      <c r="G390" s="70">
        <f t="shared" ref="G390:G392" si="89">B389</f>
        <v>388</v>
      </c>
      <c r="H390" s="7" t="s">
        <v>23</v>
      </c>
    </row>
    <row r="391" ht="18.75" customHeight="1">
      <c r="A391" s="171"/>
      <c r="B391" s="5">
        <f t="shared" si="2"/>
        <v>390</v>
      </c>
      <c r="C391" s="29" t="s">
        <v>410</v>
      </c>
      <c r="D391" s="7">
        <v>4.0</v>
      </c>
      <c r="E391" s="8">
        <f t="shared" si="88"/>
        <v>45763</v>
      </c>
      <c r="F391" s="8">
        <f t="shared" si="40"/>
        <v>45767</v>
      </c>
      <c r="G391" s="70">
        <f t="shared" si="89"/>
        <v>389</v>
      </c>
      <c r="H391" s="7" t="s">
        <v>23</v>
      </c>
    </row>
    <row r="392" ht="18.75" customHeight="1">
      <c r="A392" s="171"/>
      <c r="B392" s="5">
        <f t="shared" si="2"/>
        <v>391</v>
      </c>
      <c r="C392" s="29" t="s">
        <v>411</v>
      </c>
      <c r="D392" s="7">
        <v>2.0</v>
      </c>
      <c r="E392" s="8">
        <f t="shared" si="88"/>
        <v>45767</v>
      </c>
      <c r="F392" s="8">
        <f t="shared" si="40"/>
        <v>45769</v>
      </c>
      <c r="G392" s="70">
        <f t="shared" si="89"/>
        <v>390</v>
      </c>
      <c r="H392" s="7" t="s">
        <v>49</v>
      </c>
    </row>
    <row r="393" ht="18.75" customHeight="1">
      <c r="A393" s="180"/>
      <c r="B393" s="5">
        <f t="shared" si="2"/>
        <v>392</v>
      </c>
      <c r="C393" s="93" t="s">
        <v>412</v>
      </c>
      <c r="D393" s="23">
        <v>1.0</v>
      </c>
      <c r="E393" s="8">
        <f t="shared" ref="E393:E396" si="90">F286</f>
        <v>45760</v>
      </c>
      <c r="F393" s="8">
        <f t="shared" si="40"/>
        <v>45761</v>
      </c>
      <c r="G393" s="9">
        <f t="shared" ref="G393:G396" si="91">B286</f>
        <v>285</v>
      </c>
      <c r="H393" s="7" t="s">
        <v>10</v>
      </c>
    </row>
    <row r="394" ht="18.75" customHeight="1">
      <c r="A394" s="173"/>
      <c r="B394" s="5">
        <f t="shared" si="2"/>
        <v>393</v>
      </c>
      <c r="C394" s="93" t="s">
        <v>413</v>
      </c>
      <c r="D394" s="21">
        <v>1.0</v>
      </c>
      <c r="E394" s="8">
        <f t="shared" si="90"/>
        <v>45761</v>
      </c>
      <c r="F394" s="8">
        <f t="shared" si="40"/>
        <v>45762</v>
      </c>
      <c r="G394" s="9">
        <f t="shared" si="91"/>
        <v>286</v>
      </c>
      <c r="H394" s="7" t="s">
        <v>23</v>
      </c>
    </row>
    <row r="395" ht="18.75" customHeight="1">
      <c r="A395" s="173"/>
      <c r="B395" s="5">
        <f t="shared" si="2"/>
        <v>394</v>
      </c>
      <c r="C395" s="93" t="s">
        <v>414</v>
      </c>
      <c r="D395" s="23">
        <v>2.0</v>
      </c>
      <c r="E395" s="8">
        <f t="shared" si="90"/>
        <v>45762</v>
      </c>
      <c r="F395" s="8">
        <f t="shared" si="40"/>
        <v>45764</v>
      </c>
      <c r="G395" s="9">
        <f t="shared" si="91"/>
        <v>287</v>
      </c>
      <c r="H395" s="7" t="s">
        <v>23</v>
      </c>
    </row>
    <row r="396" ht="18.75" customHeight="1">
      <c r="A396" s="173"/>
      <c r="B396" s="5">
        <f t="shared" si="2"/>
        <v>395</v>
      </c>
      <c r="C396" s="93" t="s">
        <v>415</v>
      </c>
      <c r="D396" s="28">
        <v>1.0</v>
      </c>
      <c r="E396" s="8">
        <f t="shared" si="90"/>
        <v>45764</v>
      </c>
      <c r="F396" s="8">
        <f t="shared" si="40"/>
        <v>45765</v>
      </c>
      <c r="G396" s="9">
        <f t="shared" si="91"/>
        <v>288</v>
      </c>
      <c r="H396" s="7" t="s">
        <v>49</v>
      </c>
    </row>
    <row r="397" ht="18.75" customHeight="1">
      <c r="A397" s="181" t="s">
        <v>373</v>
      </c>
      <c r="B397" s="43">
        <f t="shared" si="2"/>
        <v>396</v>
      </c>
      <c r="C397" s="100" t="s">
        <v>416</v>
      </c>
      <c r="D397" s="7">
        <v>1.0</v>
      </c>
      <c r="E397" s="8">
        <f>F286</f>
        <v>45760</v>
      </c>
      <c r="F397" s="8">
        <f t="shared" si="40"/>
        <v>45761</v>
      </c>
      <c r="G397" s="9">
        <f>B286</f>
        <v>285</v>
      </c>
      <c r="H397" s="7" t="s">
        <v>10</v>
      </c>
    </row>
    <row r="398" ht="18.75" customHeight="1">
      <c r="A398" s="181" t="s">
        <v>417</v>
      </c>
      <c r="B398" s="43">
        <f t="shared" si="2"/>
        <v>397</v>
      </c>
      <c r="C398" s="100" t="s">
        <v>418</v>
      </c>
      <c r="D398" s="7">
        <v>2.0</v>
      </c>
      <c r="E398" s="8">
        <f t="shared" ref="E398:E400" si="92">F397</f>
        <v>45761</v>
      </c>
      <c r="F398" s="8">
        <f t="shared" si="40"/>
        <v>45763</v>
      </c>
      <c r="G398" s="70">
        <f t="shared" ref="G398:G400" si="93">B397</f>
        <v>396</v>
      </c>
      <c r="H398" s="7" t="s">
        <v>23</v>
      </c>
    </row>
    <row r="399" ht="18.75" customHeight="1">
      <c r="A399" s="182"/>
      <c r="B399" s="43">
        <f t="shared" si="2"/>
        <v>398</v>
      </c>
      <c r="C399" s="100" t="s">
        <v>419</v>
      </c>
      <c r="D399" s="7">
        <v>4.0</v>
      </c>
      <c r="E399" s="8">
        <f t="shared" si="92"/>
        <v>45763</v>
      </c>
      <c r="F399" s="8">
        <f t="shared" si="40"/>
        <v>45767</v>
      </c>
      <c r="G399" s="70">
        <f t="shared" si="93"/>
        <v>397</v>
      </c>
      <c r="H399" s="7" t="s">
        <v>23</v>
      </c>
    </row>
    <row r="400" ht="18.75" customHeight="1">
      <c r="A400" s="182"/>
      <c r="B400" s="5">
        <f t="shared" si="2"/>
        <v>399</v>
      </c>
      <c r="C400" s="100" t="s">
        <v>420</v>
      </c>
      <c r="D400" s="7">
        <v>2.0</v>
      </c>
      <c r="E400" s="8">
        <f t="shared" si="92"/>
        <v>45767</v>
      </c>
      <c r="F400" s="8">
        <f t="shared" si="40"/>
        <v>45769</v>
      </c>
      <c r="G400" s="70">
        <f t="shared" si="93"/>
        <v>398</v>
      </c>
      <c r="H400" s="7" t="s">
        <v>49</v>
      </c>
    </row>
    <row r="401" ht="18.75" customHeight="1">
      <c r="A401" s="182"/>
      <c r="B401" s="43">
        <f t="shared" si="2"/>
        <v>400</v>
      </c>
      <c r="C401" s="100" t="s">
        <v>421</v>
      </c>
      <c r="D401" s="7">
        <v>1.0</v>
      </c>
      <c r="E401" s="8">
        <f>F286</f>
        <v>45760</v>
      </c>
      <c r="F401" s="8">
        <f t="shared" si="40"/>
        <v>45761</v>
      </c>
      <c r="G401" s="70">
        <f>B286</f>
        <v>285</v>
      </c>
      <c r="H401" s="7" t="s">
        <v>10</v>
      </c>
    </row>
    <row r="402" ht="18.75" customHeight="1">
      <c r="A402" s="182"/>
      <c r="B402" s="43">
        <f t="shared" si="2"/>
        <v>401</v>
      </c>
      <c r="C402" s="100" t="s">
        <v>422</v>
      </c>
      <c r="D402" s="7">
        <v>2.0</v>
      </c>
      <c r="E402" s="8">
        <f t="shared" ref="E402:E404" si="94">F401</f>
        <v>45761</v>
      </c>
      <c r="F402" s="8">
        <f t="shared" si="40"/>
        <v>45763</v>
      </c>
      <c r="G402" s="70">
        <f t="shared" ref="G402:G404" si="95">B401</f>
        <v>400</v>
      </c>
      <c r="H402" s="7" t="s">
        <v>23</v>
      </c>
    </row>
    <row r="403" ht="18.75" customHeight="1">
      <c r="A403" s="182"/>
      <c r="B403" s="43">
        <f t="shared" si="2"/>
        <v>402</v>
      </c>
      <c r="C403" s="100" t="s">
        <v>423</v>
      </c>
      <c r="D403" s="7">
        <v>4.0</v>
      </c>
      <c r="E403" s="8">
        <f t="shared" si="94"/>
        <v>45763</v>
      </c>
      <c r="F403" s="8">
        <f t="shared" si="40"/>
        <v>45767</v>
      </c>
      <c r="G403" s="70">
        <f t="shared" si="95"/>
        <v>401</v>
      </c>
      <c r="H403" s="7" t="s">
        <v>23</v>
      </c>
    </row>
    <row r="404" ht="18.75" customHeight="1">
      <c r="A404" s="154"/>
      <c r="B404" s="5">
        <f t="shared" si="2"/>
        <v>403</v>
      </c>
      <c r="C404" s="100" t="s">
        <v>424</v>
      </c>
      <c r="D404" s="7">
        <v>2.0</v>
      </c>
      <c r="E404" s="8">
        <f t="shared" si="94"/>
        <v>45767</v>
      </c>
      <c r="F404" s="8">
        <f t="shared" si="40"/>
        <v>45769</v>
      </c>
      <c r="G404" s="70">
        <f t="shared" si="95"/>
        <v>402</v>
      </c>
      <c r="H404" s="7" t="s">
        <v>49</v>
      </c>
    </row>
    <row r="405" ht="18.75" customHeight="1">
      <c r="A405" s="154"/>
      <c r="B405" s="5">
        <f t="shared" si="2"/>
        <v>404</v>
      </c>
      <c r="C405" s="100" t="s">
        <v>425</v>
      </c>
      <c r="D405" s="7">
        <v>1.0</v>
      </c>
      <c r="E405" s="8">
        <f>F286</f>
        <v>45760</v>
      </c>
      <c r="F405" s="8">
        <f t="shared" si="40"/>
        <v>45761</v>
      </c>
      <c r="G405" s="70">
        <f>B286</f>
        <v>285</v>
      </c>
      <c r="H405" s="7" t="s">
        <v>10</v>
      </c>
    </row>
    <row r="406" ht="18.75" customHeight="1">
      <c r="A406" s="154"/>
      <c r="B406" s="5">
        <f t="shared" si="2"/>
        <v>405</v>
      </c>
      <c r="C406" s="100" t="s">
        <v>426</v>
      </c>
      <c r="D406" s="7">
        <v>2.0</v>
      </c>
      <c r="E406" s="8">
        <f t="shared" ref="E406:E408" si="96">F405</f>
        <v>45761</v>
      </c>
      <c r="F406" s="8">
        <f t="shared" si="40"/>
        <v>45763</v>
      </c>
      <c r="G406" s="70">
        <f t="shared" ref="G406:G408" si="97">B405</f>
        <v>404</v>
      </c>
      <c r="H406" s="7" t="s">
        <v>23</v>
      </c>
    </row>
    <row r="407" ht="18.75" customHeight="1">
      <c r="A407" s="154"/>
      <c r="B407" s="5">
        <f t="shared" si="2"/>
        <v>406</v>
      </c>
      <c r="C407" s="100" t="s">
        <v>427</v>
      </c>
      <c r="D407" s="7">
        <v>4.0</v>
      </c>
      <c r="E407" s="8">
        <f t="shared" si="96"/>
        <v>45763</v>
      </c>
      <c r="F407" s="8">
        <f t="shared" si="40"/>
        <v>45767</v>
      </c>
      <c r="G407" s="70">
        <f t="shared" si="97"/>
        <v>405</v>
      </c>
      <c r="H407" s="7" t="s">
        <v>23</v>
      </c>
    </row>
    <row r="408" ht="18.75" customHeight="1">
      <c r="A408" s="154"/>
      <c r="B408" s="5">
        <f t="shared" si="2"/>
        <v>407</v>
      </c>
      <c r="C408" s="100" t="s">
        <v>428</v>
      </c>
      <c r="D408" s="7">
        <v>2.0</v>
      </c>
      <c r="E408" s="8">
        <f t="shared" si="96"/>
        <v>45767</v>
      </c>
      <c r="F408" s="8">
        <f t="shared" si="40"/>
        <v>45769</v>
      </c>
      <c r="G408" s="70">
        <f t="shared" si="97"/>
        <v>406</v>
      </c>
      <c r="H408" s="7" t="s">
        <v>49</v>
      </c>
    </row>
    <row r="409" ht="18.75" customHeight="1">
      <c r="A409" s="154"/>
      <c r="B409" s="5">
        <f t="shared" si="2"/>
        <v>408</v>
      </c>
      <c r="C409" s="100" t="s">
        <v>429</v>
      </c>
      <c r="D409" s="7">
        <v>1.0</v>
      </c>
      <c r="E409" s="8">
        <f>F286</f>
        <v>45760</v>
      </c>
      <c r="F409" s="8">
        <f t="shared" si="40"/>
        <v>45761</v>
      </c>
      <c r="G409" s="70">
        <f>B286</f>
        <v>285</v>
      </c>
      <c r="H409" s="7" t="s">
        <v>10</v>
      </c>
    </row>
    <row r="410" ht="18.75" customHeight="1">
      <c r="A410" s="154"/>
      <c r="B410" s="5">
        <f t="shared" si="2"/>
        <v>409</v>
      </c>
      <c r="C410" s="100" t="s">
        <v>430</v>
      </c>
      <c r="D410" s="7">
        <v>2.0</v>
      </c>
      <c r="E410" s="8">
        <f t="shared" ref="E410:E412" si="98">F409</f>
        <v>45761</v>
      </c>
      <c r="F410" s="8">
        <f t="shared" si="40"/>
        <v>45763</v>
      </c>
      <c r="G410" s="70">
        <f t="shared" ref="G410:G412" si="99">B409</f>
        <v>408</v>
      </c>
      <c r="H410" s="7" t="s">
        <v>23</v>
      </c>
    </row>
    <row r="411" ht="18.75" customHeight="1">
      <c r="A411" s="154"/>
      <c r="B411" s="5">
        <f t="shared" si="2"/>
        <v>410</v>
      </c>
      <c r="C411" s="100" t="s">
        <v>431</v>
      </c>
      <c r="D411" s="7">
        <v>4.0</v>
      </c>
      <c r="E411" s="8">
        <f t="shared" si="98"/>
        <v>45763</v>
      </c>
      <c r="F411" s="8">
        <f t="shared" si="40"/>
        <v>45767</v>
      </c>
      <c r="G411" s="70">
        <f t="shared" si="99"/>
        <v>409</v>
      </c>
      <c r="H411" s="7" t="s">
        <v>23</v>
      </c>
    </row>
    <row r="412" ht="18.75" customHeight="1">
      <c r="A412" s="154"/>
      <c r="B412" s="5">
        <f t="shared" si="2"/>
        <v>411</v>
      </c>
      <c r="C412" s="100" t="s">
        <v>432</v>
      </c>
      <c r="D412" s="7">
        <v>2.0</v>
      </c>
      <c r="E412" s="8">
        <f t="shared" si="98"/>
        <v>45767</v>
      </c>
      <c r="F412" s="8">
        <f t="shared" si="40"/>
        <v>45769</v>
      </c>
      <c r="G412" s="70">
        <f t="shared" si="99"/>
        <v>410</v>
      </c>
      <c r="H412" s="7" t="s">
        <v>49</v>
      </c>
    </row>
    <row r="413" ht="18.75" customHeight="1">
      <c r="A413" s="183"/>
      <c r="B413" s="5">
        <f t="shared" si="2"/>
        <v>412</v>
      </c>
      <c r="C413" s="100" t="s">
        <v>433</v>
      </c>
      <c r="D413" s="21">
        <v>1.0</v>
      </c>
      <c r="E413" s="8">
        <f t="shared" ref="E413:E416" si="100">F286</f>
        <v>45760</v>
      </c>
      <c r="F413" s="8">
        <f t="shared" si="40"/>
        <v>45761</v>
      </c>
      <c r="G413" s="9">
        <f t="shared" ref="G413:G416" si="101">B286</f>
        <v>285</v>
      </c>
      <c r="H413" s="7" t="s">
        <v>10</v>
      </c>
    </row>
    <row r="414" ht="18.75" customHeight="1">
      <c r="A414" s="181"/>
      <c r="B414" s="5">
        <f t="shared" si="2"/>
        <v>413</v>
      </c>
      <c r="C414" s="100" t="s">
        <v>434</v>
      </c>
      <c r="D414" s="23">
        <v>1.0</v>
      </c>
      <c r="E414" s="8">
        <f t="shared" si="100"/>
        <v>45761</v>
      </c>
      <c r="F414" s="8">
        <f t="shared" si="40"/>
        <v>45762</v>
      </c>
      <c r="G414" s="9">
        <f t="shared" si="101"/>
        <v>286</v>
      </c>
      <c r="H414" s="7" t="s">
        <v>23</v>
      </c>
    </row>
    <row r="415" ht="18.75" customHeight="1">
      <c r="A415" s="181"/>
      <c r="B415" s="5">
        <f t="shared" si="2"/>
        <v>414</v>
      </c>
      <c r="C415" s="100" t="s">
        <v>435</v>
      </c>
      <c r="D415" s="21">
        <v>2.0</v>
      </c>
      <c r="E415" s="8">
        <f t="shared" si="100"/>
        <v>45762</v>
      </c>
      <c r="F415" s="8">
        <f t="shared" si="40"/>
        <v>45764</v>
      </c>
      <c r="G415" s="9">
        <f t="shared" si="101"/>
        <v>287</v>
      </c>
      <c r="H415" s="7" t="s">
        <v>23</v>
      </c>
    </row>
    <row r="416" ht="18.75" customHeight="1">
      <c r="A416" s="181"/>
      <c r="B416" s="5">
        <f t="shared" si="2"/>
        <v>415</v>
      </c>
      <c r="C416" s="100" t="s">
        <v>436</v>
      </c>
      <c r="D416" s="74">
        <v>1.0</v>
      </c>
      <c r="E416" s="8">
        <f t="shared" si="100"/>
        <v>45764</v>
      </c>
      <c r="F416" s="8">
        <f t="shared" si="40"/>
        <v>45765</v>
      </c>
      <c r="G416" s="9">
        <f t="shared" si="101"/>
        <v>288</v>
      </c>
      <c r="H416" s="7" t="s">
        <v>49</v>
      </c>
    </row>
    <row r="417" ht="18.75" customHeight="1">
      <c r="A417" s="184" t="s">
        <v>373</v>
      </c>
      <c r="B417" s="43">
        <f t="shared" si="2"/>
        <v>416</v>
      </c>
      <c r="C417" s="139" t="s">
        <v>437</v>
      </c>
      <c r="D417" s="7">
        <v>1.0</v>
      </c>
      <c r="E417" s="8">
        <f>F286</f>
        <v>45760</v>
      </c>
      <c r="F417" s="8">
        <f t="shared" si="40"/>
        <v>45761</v>
      </c>
      <c r="G417" s="9">
        <f>B286</f>
        <v>285</v>
      </c>
      <c r="H417" s="7" t="s">
        <v>10</v>
      </c>
    </row>
    <row r="418" ht="18.75" customHeight="1">
      <c r="A418" s="184" t="s">
        <v>438</v>
      </c>
      <c r="B418" s="43">
        <f t="shared" si="2"/>
        <v>417</v>
      </c>
      <c r="C418" s="139" t="s">
        <v>439</v>
      </c>
      <c r="D418" s="7">
        <v>2.0</v>
      </c>
      <c r="E418" s="8">
        <f t="shared" ref="E418:E420" si="102">F417</f>
        <v>45761</v>
      </c>
      <c r="F418" s="8">
        <f t="shared" si="40"/>
        <v>45763</v>
      </c>
      <c r="G418" s="70">
        <f t="shared" ref="G418:G420" si="103">B417</f>
        <v>416</v>
      </c>
      <c r="H418" s="7" t="s">
        <v>23</v>
      </c>
    </row>
    <row r="419" ht="18.75" customHeight="1">
      <c r="A419" s="184" t="s">
        <v>440</v>
      </c>
      <c r="B419" s="43">
        <f t="shared" si="2"/>
        <v>418</v>
      </c>
      <c r="C419" s="139" t="s">
        <v>441</v>
      </c>
      <c r="D419" s="7">
        <v>4.0</v>
      </c>
      <c r="E419" s="8">
        <f t="shared" si="102"/>
        <v>45763</v>
      </c>
      <c r="F419" s="8">
        <f t="shared" si="40"/>
        <v>45767</v>
      </c>
      <c r="G419" s="70">
        <f t="shared" si="103"/>
        <v>417</v>
      </c>
      <c r="H419" s="7" t="s">
        <v>23</v>
      </c>
    </row>
    <row r="420" ht="18.75" customHeight="1">
      <c r="A420" s="185"/>
      <c r="B420" s="5">
        <f t="shared" si="2"/>
        <v>419</v>
      </c>
      <c r="C420" s="139" t="s">
        <v>442</v>
      </c>
      <c r="D420" s="7">
        <v>2.0</v>
      </c>
      <c r="E420" s="8">
        <f t="shared" si="102"/>
        <v>45767</v>
      </c>
      <c r="F420" s="8">
        <f t="shared" si="40"/>
        <v>45769</v>
      </c>
      <c r="G420" s="70">
        <f t="shared" si="103"/>
        <v>418</v>
      </c>
      <c r="H420" s="7" t="s">
        <v>49</v>
      </c>
    </row>
    <row r="421" ht="18.75" customHeight="1">
      <c r="A421" s="185"/>
      <c r="B421" s="43">
        <f t="shared" si="2"/>
        <v>420</v>
      </c>
      <c r="C421" s="139" t="s">
        <v>443</v>
      </c>
      <c r="D421" s="7">
        <v>1.0</v>
      </c>
      <c r="E421" s="8">
        <f>F286</f>
        <v>45760</v>
      </c>
      <c r="F421" s="8">
        <f t="shared" si="40"/>
        <v>45761</v>
      </c>
      <c r="G421" s="70">
        <f>B286</f>
        <v>285</v>
      </c>
      <c r="H421" s="7" t="s">
        <v>10</v>
      </c>
    </row>
    <row r="422" ht="18.75" customHeight="1">
      <c r="A422" s="185"/>
      <c r="B422" s="43">
        <f t="shared" si="2"/>
        <v>421</v>
      </c>
      <c r="C422" s="139" t="s">
        <v>444</v>
      </c>
      <c r="D422" s="7">
        <v>2.0</v>
      </c>
      <c r="E422" s="8">
        <f t="shared" ref="E422:E424" si="104">F421</f>
        <v>45761</v>
      </c>
      <c r="F422" s="8">
        <f t="shared" si="40"/>
        <v>45763</v>
      </c>
      <c r="G422" s="70">
        <f t="shared" ref="G422:G424" si="105">B421</f>
        <v>420</v>
      </c>
      <c r="H422" s="7" t="s">
        <v>23</v>
      </c>
    </row>
    <row r="423" ht="18.75" customHeight="1">
      <c r="A423" s="185"/>
      <c r="B423" s="43">
        <f t="shared" si="2"/>
        <v>422</v>
      </c>
      <c r="C423" s="139" t="s">
        <v>445</v>
      </c>
      <c r="D423" s="7">
        <v>4.0</v>
      </c>
      <c r="E423" s="8">
        <f t="shared" si="104"/>
        <v>45763</v>
      </c>
      <c r="F423" s="8">
        <f t="shared" si="40"/>
        <v>45767</v>
      </c>
      <c r="G423" s="70">
        <f t="shared" si="105"/>
        <v>421</v>
      </c>
      <c r="H423" s="7" t="s">
        <v>23</v>
      </c>
    </row>
    <row r="424" ht="18.75" customHeight="1">
      <c r="A424" s="140"/>
      <c r="B424" s="5">
        <f t="shared" si="2"/>
        <v>423</v>
      </c>
      <c r="C424" s="139" t="s">
        <v>446</v>
      </c>
      <c r="D424" s="7">
        <v>2.0</v>
      </c>
      <c r="E424" s="8">
        <f t="shared" si="104"/>
        <v>45767</v>
      </c>
      <c r="F424" s="8">
        <f t="shared" si="40"/>
        <v>45769</v>
      </c>
      <c r="G424" s="70">
        <f t="shared" si="105"/>
        <v>422</v>
      </c>
      <c r="H424" s="7" t="s">
        <v>49</v>
      </c>
    </row>
    <row r="425" ht="18.75" customHeight="1">
      <c r="A425" s="140"/>
      <c r="B425" s="5">
        <f t="shared" si="2"/>
        <v>424</v>
      </c>
      <c r="C425" s="139" t="s">
        <v>447</v>
      </c>
      <c r="D425" s="7">
        <v>1.0</v>
      </c>
      <c r="E425" s="8">
        <f>F286</f>
        <v>45760</v>
      </c>
      <c r="F425" s="8">
        <f t="shared" si="40"/>
        <v>45761</v>
      </c>
      <c r="G425" s="70">
        <f>B286</f>
        <v>285</v>
      </c>
      <c r="H425" s="7" t="s">
        <v>10</v>
      </c>
    </row>
    <row r="426" ht="18.75" customHeight="1">
      <c r="A426" s="140"/>
      <c r="B426" s="5">
        <f t="shared" si="2"/>
        <v>425</v>
      </c>
      <c r="C426" s="139" t="s">
        <v>448</v>
      </c>
      <c r="D426" s="7">
        <v>2.0</v>
      </c>
      <c r="E426" s="8">
        <f t="shared" ref="E426:E428" si="106">F425</f>
        <v>45761</v>
      </c>
      <c r="F426" s="8">
        <f t="shared" si="40"/>
        <v>45763</v>
      </c>
      <c r="G426" s="70">
        <f t="shared" ref="G426:G428" si="107">B425</f>
        <v>424</v>
      </c>
      <c r="H426" s="7" t="s">
        <v>23</v>
      </c>
    </row>
    <row r="427" ht="18.75" customHeight="1">
      <c r="A427" s="140"/>
      <c r="B427" s="5">
        <f t="shared" si="2"/>
        <v>426</v>
      </c>
      <c r="C427" s="139" t="s">
        <v>449</v>
      </c>
      <c r="D427" s="7">
        <v>4.0</v>
      </c>
      <c r="E427" s="8">
        <f t="shared" si="106"/>
        <v>45763</v>
      </c>
      <c r="F427" s="8">
        <f t="shared" si="40"/>
        <v>45767</v>
      </c>
      <c r="G427" s="70">
        <f t="shared" si="107"/>
        <v>425</v>
      </c>
      <c r="H427" s="7" t="s">
        <v>23</v>
      </c>
    </row>
    <row r="428" ht="18.75" customHeight="1">
      <c r="A428" s="140"/>
      <c r="B428" s="5">
        <f t="shared" si="2"/>
        <v>427</v>
      </c>
      <c r="C428" s="139" t="s">
        <v>450</v>
      </c>
      <c r="D428" s="7">
        <v>2.0</v>
      </c>
      <c r="E428" s="8">
        <f t="shared" si="106"/>
        <v>45767</v>
      </c>
      <c r="F428" s="8">
        <f t="shared" si="40"/>
        <v>45769</v>
      </c>
      <c r="G428" s="70">
        <f t="shared" si="107"/>
        <v>426</v>
      </c>
      <c r="H428" s="7" t="s">
        <v>49</v>
      </c>
    </row>
    <row r="429" ht="18.75" customHeight="1">
      <c r="A429" s="140"/>
      <c r="B429" s="5">
        <f t="shared" si="2"/>
        <v>428</v>
      </c>
      <c r="C429" s="139" t="s">
        <v>451</v>
      </c>
      <c r="D429" s="7">
        <v>1.0</v>
      </c>
      <c r="E429" s="8">
        <f>F286</f>
        <v>45760</v>
      </c>
      <c r="F429" s="8">
        <f t="shared" si="40"/>
        <v>45761</v>
      </c>
      <c r="G429" s="70">
        <f>B286</f>
        <v>285</v>
      </c>
      <c r="H429" s="7" t="s">
        <v>10</v>
      </c>
    </row>
    <row r="430" ht="18.75" customHeight="1">
      <c r="A430" s="140"/>
      <c r="B430" s="5">
        <f t="shared" si="2"/>
        <v>429</v>
      </c>
      <c r="C430" s="139" t="s">
        <v>452</v>
      </c>
      <c r="D430" s="7">
        <v>2.0</v>
      </c>
      <c r="E430" s="8">
        <f t="shared" ref="E430:E432" si="108">F429</f>
        <v>45761</v>
      </c>
      <c r="F430" s="8">
        <f t="shared" si="40"/>
        <v>45763</v>
      </c>
      <c r="G430" s="70">
        <f t="shared" ref="G430:G432" si="109">B429</f>
        <v>428</v>
      </c>
      <c r="H430" s="7" t="s">
        <v>23</v>
      </c>
    </row>
    <row r="431" ht="18.75" customHeight="1">
      <c r="A431" s="140"/>
      <c r="B431" s="5">
        <f t="shared" si="2"/>
        <v>430</v>
      </c>
      <c r="C431" s="139" t="s">
        <v>453</v>
      </c>
      <c r="D431" s="7">
        <v>4.0</v>
      </c>
      <c r="E431" s="8">
        <f t="shared" si="108"/>
        <v>45763</v>
      </c>
      <c r="F431" s="8">
        <f t="shared" si="40"/>
        <v>45767</v>
      </c>
      <c r="G431" s="70">
        <f t="shared" si="109"/>
        <v>429</v>
      </c>
      <c r="H431" s="7" t="s">
        <v>23</v>
      </c>
    </row>
    <row r="432" ht="18.75" customHeight="1">
      <c r="A432" s="140"/>
      <c r="B432" s="5">
        <f t="shared" si="2"/>
        <v>431</v>
      </c>
      <c r="C432" s="139" t="s">
        <v>454</v>
      </c>
      <c r="D432" s="7">
        <v>2.0</v>
      </c>
      <c r="E432" s="8">
        <f t="shared" si="108"/>
        <v>45767</v>
      </c>
      <c r="F432" s="8">
        <f t="shared" si="40"/>
        <v>45769</v>
      </c>
      <c r="G432" s="70">
        <f t="shared" si="109"/>
        <v>430</v>
      </c>
      <c r="H432" s="7" t="s">
        <v>49</v>
      </c>
    </row>
    <row r="433" ht="18.75" customHeight="1">
      <c r="A433" s="186"/>
      <c r="B433" s="5">
        <f t="shared" si="2"/>
        <v>432</v>
      </c>
      <c r="C433" s="139" t="s">
        <v>455</v>
      </c>
      <c r="D433" s="23">
        <v>1.0</v>
      </c>
      <c r="E433" s="8">
        <f t="shared" ref="E433:E436" si="110">F286</f>
        <v>45760</v>
      </c>
      <c r="F433" s="8">
        <f t="shared" si="40"/>
        <v>45761</v>
      </c>
      <c r="G433" s="9">
        <f>B286</f>
        <v>285</v>
      </c>
      <c r="H433" s="7" t="s">
        <v>10</v>
      </c>
    </row>
    <row r="434" ht="18.75" customHeight="1">
      <c r="A434" s="186"/>
      <c r="B434" s="5">
        <f t="shared" si="2"/>
        <v>433</v>
      </c>
      <c r="C434" s="139" t="s">
        <v>456</v>
      </c>
      <c r="D434" s="21">
        <v>1.0</v>
      </c>
      <c r="E434" s="8">
        <f t="shared" si="110"/>
        <v>45761</v>
      </c>
      <c r="F434" s="8">
        <f t="shared" si="40"/>
        <v>45762</v>
      </c>
      <c r="G434" s="70">
        <f t="shared" ref="G434:G436" si="111">B433</f>
        <v>432</v>
      </c>
      <c r="H434" s="7" t="s">
        <v>23</v>
      </c>
    </row>
    <row r="435" ht="18.75" customHeight="1">
      <c r="A435" s="186"/>
      <c r="B435" s="5">
        <f t="shared" si="2"/>
        <v>434</v>
      </c>
      <c r="C435" s="139" t="s">
        <v>457</v>
      </c>
      <c r="D435" s="23">
        <v>2.0</v>
      </c>
      <c r="E435" s="8">
        <f t="shared" si="110"/>
        <v>45762</v>
      </c>
      <c r="F435" s="8">
        <f t="shared" si="40"/>
        <v>45764</v>
      </c>
      <c r="G435" s="70">
        <f t="shared" si="111"/>
        <v>433</v>
      </c>
      <c r="H435" s="7" t="s">
        <v>23</v>
      </c>
    </row>
    <row r="436" ht="18.75" customHeight="1">
      <c r="A436" s="186"/>
      <c r="B436" s="5">
        <f t="shared" si="2"/>
        <v>435</v>
      </c>
      <c r="C436" s="139" t="s">
        <v>458</v>
      </c>
      <c r="D436" s="28">
        <v>1.0</v>
      </c>
      <c r="E436" s="8">
        <f t="shared" si="110"/>
        <v>45764</v>
      </c>
      <c r="F436" s="8">
        <f t="shared" si="40"/>
        <v>45765</v>
      </c>
      <c r="G436" s="70">
        <f t="shared" si="111"/>
        <v>434</v>
      </c>
      <c r="H436" s="49" t="s">
        <v>49</v>
      </c>
    </row>
    <row r="437" ht="18.75" customHeight="1">
      <c r="A437" s="15" t="s">
        <v>459</v>
      </c>
      <c r="B437" s="43">
        <f t="shared" si="2"/>
        <v>436</v>
      </c>
      <c r="C437" s="67" t="s">
        <v>460</v>
      </c>
      <c r="D437" s="7">
        <v>1.0</v>
      </c>
      <c r="E437" s="8">
        <f>F432</f>
        <v>45769</v>
      </c>
      <c r="F437" s="8">
        <f t="shared" si="40"/>
        <v>45770</v>
      </c>
      <c r="G437" s="9" t="str">
        <f>B372&amp; "-" &amp;B392&amp; "-" &amp;B412&amp; "-" &amp;B432</f>
        <v>371-391-411-431</v>
      </c>
      <c r="H437" s="7" t="s">
        <v>10</v>
      </c>
    </row>
    <row r="438" ht="18.75" customHeight="1">
      <c r="A438" s="121"/>
      <c r="B438" s="43">
        <f t="shared" si="2"/>
        <v>437</v>
      </c>
      <c r="C438" s="67" t="s">
        <v>461</v>
      </c>
      <c r="D438" s="7">
        <v>2.0</v>
      </c>
      <c r="E438" s="8">
        <f t="shared" ref="E438:E441" si="112">F437</f>
        <v>45770</v>
      </c>
      <c r="F438" s="8">
        <f t="shared" si="40"/>
        <v>45772</v>
      </c>
      <c r="G438" s="70">
        <f t="shared" ref="G438:G441" si="113">B437</f>
        <v>436</v>
      </c>
      <c r="H438" s="7" t="s">
        <v>23</v>
      </c>
    </row>
    <row r="439" ht="18.75" customHeight="1">
      <c r="A439" s="121"/>
      <c r="B439" s="43">
        <f t="shared" si="2"/>
        <v>438</v>
      </c>
      <c r="C439" s="67" t="s">
        <v>462</v>
      </c>
      <c r="D439" s="7">
        <v>4.0</v>
      </c>
      <c r="E439" s="8">
        <f t="shared" si="112"/>
        <v>45772</v>
      </c>
      <c r="F439" s="8">
        <f t="shared" si="40"/>
        <v>45776</v>
      </c>
      <c r="G439" s="70">
        <f t="shared" si="113"/>
        <v>437</v>
      </c>
      <c r="H439" s="7" t="s">
        <v>23</v>
      </c>
    </row>
    <row r="440" ht="18.75" customHeight="1">
      <c r="A440" s="187"/>
      <c r="B440" s="117">
        <f t="shared" si="2"/>
        <v>439</v>
      </c>
      <c r="C440" s="188" t="s">
        <v>463</v>
      </c>
      <c r="D440" s="53">
        <v>2.0</v>
      </c>
      <c r="E440" s="50">
        <f t="shared" si="112"/>
        <v>45776</v>
      </c>
      <c r="F440" s="50">
        <f t="shared" si="40"/>
        <v>45778</v>
      </c>
      <c r="G440" s="189">
        <f t="shared" si="113"/>
        <v>438</v>
      </c>
      <c r="H440" s="49" t="s">
        <v>49</v>
      </c>
    </row>
    <row r="441" ht="18.75" customHeight="1">
      <c r="A441" s="4" t="s">
        <v>8</v>
      </c>
      <c r="B441" s="190">
        <f t="shared" si="2"/>
        <v>440</v>
      </c>
      <c r="C441" s="191" t="s">
        <v>464</v>
      </c>
      <c r="D441" s="110">
        <v>1.0</v>
      </c>
      <c r="E441" s="84">
        <f t="shared" si="112"/>
        <v>45778</v>
      </c>
      <c r="F441" s="84">
        <f t="shared" si="40"/>
        <v>45779</v>
      </c>
      <c r="G441" s="192">
        <f t="shared" si="113"/>
        <v>439</v>
      </c>
      <c r="H441" s="57" t="s">
        <v>10</v>
      </c>
    </row>
    <row r="442" ht="18.75" customHeight="1">
      <c r="A442" s="193"/>
      <c r="B442" s="190">
        <f t="shared" si="2"/>
        <v>441</v>
      </c>
      <c r="C442" s="191" t="s">
        <v>465</v>
      </c>
      <c r="D442" s="110">
        <v>1.0</v>
      </c>
      <c r="E442" s="84">
        <f>F440</f>
        <v>45778</v>
      </c>
      <c r="F442" s="84">
        <f t="shared" si="40"/>
        <v>45779</v>
      </c>
      <c r="G442" s="98">
        <f>B440</f>
        <v>439</v>
      </c>
      <c r="H442" s="7" t="s">
        <v>10</v>
      </c>
    </row>
    <row r="443" ht="18.75" customHeight="1">
      <c r="A443" s="193"/>
      <c r="B443" s="190">
        <f t="shared" si="2"/>
        <v>442</v>
      </c>
      <c r="C443" s="191" t="s">
        <v>466</v>
      </c>
      <c r="D443" s="110">
        <v>1.0</v>
      </c>
      <c r="E443" s="84">
        <f t="shared" ref="E443:E444" si="114">F440</f>
        <v>45778</v>
      </c>
      <c r="F443" s="84">
        <f t="shared" si="40"/>
        <v>45779</v>
      </c>
      <c r="G443" s="98">
        <f t="shared" ref="G443:G444" si="115">B440</f>
        <v>439</v>
      </c>
      <c r="H443" s="7" t="s">
        <v>10</v>
      </c>
    </row>
    <row r="444" ht="18.75" customHeight="1">
      <c r="A444" s="75" t="s">
        <v>467</v>
      </c>
      <c r="B444" s="5">
        <f t="shared" si="2"/>
        <v>443</v>
      </c>
      <c r="C444" s="76" t="s">
        <v>468</v>
      </c>
      <c r="D444" s="101">
        <v>1.0</v>
      </c>
      <c r="E444" s="8">
        <f t="shared" si="114"/>
        <v>45779</v>
      </c>
      <c r="F444" s="8">
        <f t="shared" si="40"/>
        <v>45780</v>
      </c>
      <c r="G444" s="9">
        <f t="shared" si="115"/>
        <v>440</v>
      </c>
      <c r="H444" s="7" t="s">
        <v>10</v>
      </c>
    </row>
    <row r="445" ht="18.75" customHeight="1">
      <c r="A445" s="131"/>
      <c r="B445" s="43">
        <f t="shared" si="2"/>
        <v>444</v>
      </c>
      <c r="C445" s="76" t="s">
        <v>469</v>
      </c>
      <c r="D445" s="115">
        <v>2.0</v>
      </c>
      <c r="E445" s="8">
        <f t="shared" ref="E445:E452" si="116">F444</f>
        <v>45780</v>
      </c>
      <c r="F445" s="8">
        <f t="shared" si="40"/>
        <v>45782</v>
      </c>
      <c r="G445" s="9">
        <f t="shared" ref="G445:G452" si="117">B444</f>
        <v>443</v>
      </c>
      <c r="H445" s="7" t="s">
        <v>23</v>
      </c>
    </row>
    <row r="446" ht="18.75" customHeight="1">
      <c r="A446" s="131"/>
      <c r="B446" s="43">
        <f t="shared" si="2"/>
        <v>445</v>
      </c>
      <c r="C446" s="76" t="s">
        <v>470</v>
      </c>
      <c r="D446" s="115">
        <v>2.0</v>
      </c>
      <c r="E446" s="8">
        <f t="shared" si="116"/>
        <v>45782</v>
      </c>
      <c r="F446" s="8">
        <f t="shared" si="40"/>
        <v>45784</v>
      </c>
      <c r="G446" s="9">
        <f t="shared" si="117"/>
        <v>444</v>
      </c>
      <c r="H446" s="7" t="s">
        <v>23</v>
      </c>
    </row>
    <row r="447" ht="18.75" customHeight="1">
      <c r="A447" s="131"/>
      <c r="B447" s="43">
        <f t="shared" si="2"/>
        <v>446</v>
      </c>
      <c r="C447" s="76" t="s">
        <v>471</v>
      </c>
      <c r="D447" s="110">
        <v>4.0</v>
      </c>
      <c r="E447" s="8">
        <f t="shared" si="116"/>
        <v>45784</v>
      </c>
      <c r="F447" s="8">
        <f t="shared" si="40"/>
        <v>45788</v>
      </c>
      <c r="G447" s="9">
        <f t="shared" si="117"/>
        <v>445</v>
      </c>
      <c r="H447" s="7" t="s">
        <v>23</v>
      </c>
    </row>
    <row r="448" ht="18.75" customHeight="1">
      <c r="A448" s="131"/>
      <c r="B448" s="43">
        <f t="shared" si="2"/>
        <v>447</v>
      </c>
      <c r="C448" s="76" t="s">
        <v>472</v>
      </c>
      <c r="D448" s="108">
        <v>2.0</v>
      </c>
      <c r="E448" s="8">
        <f t="shared" si="116"/>
        <v>45788</v>
      </c>
      <c r="F448" s="8">
        <f t="shared" si="40"/>
        <v>45790</v>
      </c>
      <c r="G448" s="9">
        <f t="shared" si="117"/>
        <v>446</v>
      </c>
      <c r="H448" s="7" t="s">
        <v>49</v>
      </c>
    </row>
    <row r="449" ht="18.75" customHeight="1">
      <c r="A449" s="131"/>
      <c r="B449" s="43">
        <f t="shared" si="2"/>
        <v>448</v>
      </c>
      <c r="C449" s="76" t="s">
        <v>473</v>
      </c>
      <c r="D449" s="21">
        <v>1.0</v>
      </c>
      <c r="E449" s="8">
        <f t="shared" si="116"/>
        <v>45790</v>
      </c>
      <c r="F449" s="8">
        <f t="shared" si="40"/>
        <v>45791</v>
      </c>
      <c r="G449" s="9">
        <f t="shared" si="117"/>
        <v>447</v>
      </c>
      <c r="H449" s="7" t="s">
        <v>10</v>
      </c>
    </row>
    <row r="450" ht="18.75" customHeight="1">
      <c r="A450" s="131"/>
      <c r="B450" s="43">
        <f t="shared" si="2"/>
        <v>449</v>
      </c>
      <c r="C450" s="76" t="s">
        <v>474</v>
      </c>
      <c r="D450" s="115">
        <v>1.0</v>
      </c>
      <c r="E450" s="8">
        <f t="shared" si="116"/>
        <v>45791</v>
      </c>
      <c r="F450" s="8">
        <f t="shared" si="40"/>
        <v>45792</v>
      </c>
      <c r="G450" s="9">
        <f t="shared" si="117"/>
        <v>448</v>
      </c>
      <c r="H450" s="7" t="s">
        <v>23</v>
      </c>
    </row>
    <row r="451" ht="18.75" customHeight="1">
      <c r="A451" s="131"/>
      <c r="B451" s="43">
        <f t="shared" si="2"/>
        <v>450</v>
      </c>
      <c r="C451" s="76" t="s">
        <v>475</v>
      </c>
      <c r="D451" s="110">
        <v>2.0</v>
      </c>
      <c r="E451" s="8">
        <f t="shared" si="116"/>
        <v>45792</v>
      </c>
      <c r="F451" s="8">
        <f t="shared" si="40"/>
        <v>45794</v>
      </c>
      <c r="G451" s="9">
        <f t="shared" si="117"/>
        <v>449</v>
      </c>
      <c r="H451" s="7" t="s">
        <v>23</v>
      </c>
    </row>
    <row r="452" ht="18.75" customHeight="1">
      <c r="A452" s="131"/>
      <c r="B452" s="43">
        <f t="shared" si="2"/>
        <v>451</v>
      </c>
      <c r="C452" s="76" t="s">
        <v>476</v>
      </c>
      <c r="D452" s="115">
        <v>1.0</v>
      </c>
      <c r="E452" s="8">
        <f t="shared" si="116"/>
        <v>45794</v>
      </c>
      <c r="F452" s="8">
        <f t="shared" si="40"/>
        <v>45795</v>
      </c>
      <c r="G452" s="9">
        <f t="shared" si="117"/>
        <v>450</v>
      </c>
      <c r="H452" s="7" t="s">
        <v>49</v>
      </c>
    </row>
    <row r="453" ht="18.75" customHeight="1">
      <c r="A453" s="194"/>
      <c r="B453" s="43">
        <f t="shared" si="2"/>
        <v>452</v>
      </c>
      <c r="C453" s="76" t="s">
        <v>477</v>
      </c>
      <c r="D453" s="101">
        <v>1.0</v>
      </c>
      <c r="E453" s="8">
        <f>F442</f>
        <v>45779</v>
      </c>
      <c r="F453" s="8">
        <f t="shared" si="40"/>
        <v>45780</v>
      </c>
      <c r="G453" s="9">
        <f>B442</f>
        <v>441</v>
      </c>
      <c r="H453" s="7" t="s">
        <v>10</v>
      </c>
    </row>
    <row r="454" ht="18.75" customHeight="1">
      <c r="A454" s="131"/>
      <c r="B454" s="43">
        <f t="shared" si="2"/>
        <v>453</v>
      </c>
      <c r="C454" s="76" t="s">
        <v>478</v>
      </c>
      <c r="D454" s="115">
        <v>2.0</v>
      </c>
      <c r="E454" s="8">
        <f t="shared" ref="E454:E461" si="118">F453</f>
        <v>45780</v>
      </c>
      <c r="F454" s="8">
        <f t="shared" si="40"/>
        <v>45782</v>
      </c>
      <c r="G454" s="9">
        <f t="shared" ref="G454:G461" si="119">B453</f>
        <v>452</v>
      </c>
      <c r="H454" s="7" t="s">
        <v>23</v>
      </c>
    </row>
    <row r="455" ht="18.75" customHeight="1">
      <c r="A455" s="131"/>
      <c r="B455" s="43">
        <f t="shared" si="2"/>
        <v>454</v>
      </c>
      <c r="C455" s="76" t="s">
        <v>479</v>
      </c>
      <c r="D455" s="115">
        <v>2.0</v>
      </c>
      <c r="E455" s="8">
        <f t="shared" si="118"/>
        <v>45782</v>
      </c>
      <c r="F455" s="8">
        <f t="shared" si="40"/>
        <v>45784</v>
      </c>
      <c r="G455" s="9">
        <f t="shared" si="119"/>
        <v>453</v>
      </c>
      <c r="H455" s="7" t="s">
        <v>23</v>
      </c>
    </row>
    <row r="456" ht="18.75" customHeight="1">
      <c r="A456" s="131"/>
      <c r="B456" s="43">
        <f t="shared" si="2"/>
        <v>455</v>
      </c>
      <c r="C456" s="76" t="s">
        <v>480</v>
      </c>
      <c r="D456" s="110">
        <v>4.0</v>
      </c>
      <c r="E456" s="8">
        <f t="shared" si="118"/>
        <v>45784</v>
      </c>
      <c r="F456" s="8">
        <f t="shared" si="40"/>
        <v>45788</v>
      </c>
      <c r="G456" s="9">
        <f t="shared" si="119"/>
        <v>454</v>
      </c>
      <c r="H456" s="7" t="s">
        <v>23</v>
      </c>
    </row>
    <row r="457" ht="18.75" customHeight="1">
      <c r="A457" s="131"/>
      <c r="B457" s="43">
        <f t="shared" si="2"/>
        <v>456</v>
      </c>
      <c r="C457" s="76" t="s">
        <v>481</v>
      </c>
      <c r="D457" s="108">
        <v>2.0</v>
      </c>
      <c r="E457" s="8">
        <f t="shared" si="118"/>
        <v>45788</v>
      </c>
      <c r="F457" s="8">
        <f t="shared" si="40"/>
        <v>45790</v>
      </c>
      <c r="G457" s="9">
        <f t="shared" si="119"/>
        <v>455</v>
      </c>
      <c r="H457" s="7" t="s">
        <v>49</v>
      </c>
    </row>
    <row r="458" ht="18.75" customHeight="1">
      <c r="A458" s="131"/>
      <c r="B458" s="43">
        <f t="shared" si="2"/>
        <v>457</v>
      </c>
      <c r="C458" s="76" t="s">
        <v>482</v>
      </c>
      <c r="D458" s="21">
        <v>1.0</v>
      </c>
      <c r="E458" s="8">
        <f t="shared" si="118"/>
        <v>45790</v>
      </c>
      <c r="F458" s="8">
        <f t="shared" si="40"/>
        <v>45791</v>
      </c>
      <c r="G458" s="9">
        <f t="shared" si="119"/>
        <v>456</v>
      </c>
      <c r="H458" s="7" t="s">
        <v>10</v>
      </c>
    </row>
    <row r="459" ht="18.75" customHeight="1">
      <c r="A459" s="131"/>
      <c r="B459" s="43">
        <f t="shared" si="2"/>
        <v>458</v>
      </c>
      <c r="C459" s="76" t="s">
        <v>483</v>
      </c>
      <c r="D459" s="115">
        <v>1.0</v>
      </c>
      <c r="E459" s="8">
        <f t="shared" si="118"/>
        <v>45791</v>
      </c>
      <c r="F459" s="8">
        <f t="shared" si="40"/>
        <v>45792</v>
      </c>
      <c r="G459" s="9">
        <f t="shared" si="119"/>
        <v>457</v>
      </c>
      <c r="H459" s="7" t="s">
        <v>23</v>
      </c>
    </row>
    <row r="460" ht="18.75" customHeight="1">
      <c r="A460" s="131"/>
      <c r="B460" s="43">
        <f t="shared" si="2"/>
        <v>459</v>
      </c>
      <c r="C460" s="76" t="s">
        <v>484</v>
      </c>
      <c r="D460" s="110">
        <v>2.0</v>
      </c>
      <c r="E460" s="8">
        <f t="shared" si="118"/>
        <v>45792</v>
      </c>
      <c r="F460" s="8">
        <f t="shared" si="40"/>
        <v>45794</v>
      </c>
      <c r="G460" s="9">
        <f t="shared" si="119"/>
        <v>458</v>
      </c>
      <c r="H460" s="7" t="s">
        <v>23</v>
      </c>
    </row>
    <row r="461" ht="18.75" customHeight="1">
      <c r="A461" s="131"/>
      <c r="B461" s="43">
        <f t="shared" si="2"/>
        <v>460</v>
      </c>
      <c r="C461" s="76" t="s">
        <v>485</v>
      </c>
      <c r="D461" s="115">
        <v>1.0</v>
      </c>
      <c r="E461" s="8">
        <f t="shared" si="118"/>
        <v>45794</v>
      </c>
      <c r="F461" s="8">
        <f t="shared" si="40"/>
        <v>45795</v>
      </c>
      <c r="G461" s="9">
        <f t="shared" si="119"/>
        <v>459</v>
      </c>
      <c r="H461" s="7" t="s">
        <v>49</v>
      </c>
    </row>
    <row r="462" ht="18.75" customHeight="1">
      <c r="A462" s="194"/>
      <c r="B462" s="43">
        <f t="shared" si="2"/>
        <v>461</v>
      </c>
      <c r="C462" s="76" t="s">
        <v>486</v>
      </c>
      <c r="D462" s="101">
        <v>1.0</v>
      </c>
      <c r="E462" s="8">
        <f>F443</f>
        <v>45779</v>
      </c>
      <c r="F462" s="8">
        <f t="shared" si="40"/>
        <v>45780</v>
      </c>
      <c r="G462" s="9">
        <f>B443</f>
        <v>442</v>
      </c>
      <c r="H462" s="7" t="s">
        <v>10</v>
      </c>
    </row>
    <row r="463" ht="18.75" customHeight="1">
      <c r="A463" s="131"/>
      <c r="B463" s="43">
        <f t="shared" si="2"/>
        <v>462</v>
      </c>
      <c r="C463" s="76" t="s">
        <v>487</v>
      </c>
      <c r="D463" s="115">
        <v>2.0</v>
      </c>
      <c r="E463" s="8">
        <f t="shared" ref="E463:E470" si="120">F462</f>
        <v>45780</v>
      </c>
      <c r="F463" s="8">
        <f t="shared" si="40"/>
        <v>45782</v>
      </c>
      <c r="G463" s="9">
        <f t="shared" ref="G463:G470" si="121">B462</f>
        <v>461</v>
      </c>
      <c r="H463" s="7" t="s">
        <v>23</v>
      </c>
    </row>
    <row r="464" ht="18.75" customHeight="1">
      <c r="A464" s="131"/>
      <c r="B464" s="43">
        <f t="shared" si="2"/>
        <v>463</v>
      </c>
      <c r="C464" s="76" t="s">
        <v>488</v>
      </c>
      <c r="D464" s="115">
        <v>2.0</v>
      </c>
      <c r="E464" s="8">
        <f t="shared" si="120"/>
        <v>45782</v>
      </c>
      <c r="F464" s="8">
        <f t="shared" si="40"/>
        <v>45784</v>
      </c>
      <c r="G464" s="9">
        <f t="shared" si="121"/>
        <v>462</v>
      </c>
      <c r="H464" s="7" t="s">
        <v>23</v>
      </c>
    </row>
    <row r="465" ht="18.75" customHeight="1">
      <c r="A465" s="131"/>
      <c r="B465" s="43">
        <f t="shared" si="2"/>
        <v>464</v>
      </c>
      <c r="C465" s="76" t="s">
        <v>489</v>
      </c>
      <c r="D465" s="110">
        <v>4.0</v>
      </c>
      <c r="E465" s="8">
        <f t="shared" si="120"/>
        <v>45784</v>
      </c>
      <c r="F465" s="8">
        <f t="shared" si="40"/>
        <v>45788</v>
      </c>
      <c r="G465" s="9">
        <f t="shared" si="121"/>
        <v>463</v>
      </c>
      <c r="H465" s="7" t="s">
        <v>23</v>
      </c>
    </row>
    <row r="466" ht="18.75" customHeight="1">
      <c r="A466" s="131"/>
      <c r="B466" s="43">
        <f t="shared" si="2"/>
        <v>465</v>
      </c>
      <c r="C466" s="76" t="s">
        <v>490</v>
      </c>
      <c r="D466" s="108">
        <v>2.0</v>
      </c>
      <c r="E466" s="8">
        <f t="shared" si="120"/>
        <v>45788</v>
      </c>
      <c r="F466" s="8">
        <f t="shared" si="40"/>
        <v>45790</v>
      </c>
      <c r="G466" s="9">
        <f t="shared" si="121"/>
        <v>464</v>
      </c>
      <c r="H466" s="7" t="s">
        <v>49</v>
      </c>
    </row>
    <row r="467" ht="18.75" customHeight="1">
      <c r="A467" s="131"/>
      <c r="B467" s="43">
        <f t="shared" si="2"/>
        <v>466</v>
      </c>
      <c r="C467" s="76" t="s">
        <v>491</v>
      </c>
      <c r="D467" s="21">
        <v>1.0</v>
      </c>
      <c r="E467" s="8">
        <f t="shared" si="120"/>
        <v>45790</v>
      </c>
      <c r="F467" s="8">
        <f t="shared" si="40"/>
        <v>45791</v>
      </c>
      <c r="G467" s="9">
        <f t="shared" si="121"/>
        <v>465</v>
      </c>
      <c r="H467" s="7" t="s">
        <v>10</v>
      </c>
    </row>
    <row r="468" ht="18.75" customHeight="1">
      <c r="A468" s="131"/>
      <c r="B468" s="43">
        <f t="shared" si="2"/>
        <v>467</v>
      </c>
      <c r="C468" s="76" t="s">
        <v>492</v>
      </c>
      <c r="D468" s="115">
        <v>1.0</v>
      </c>
      <c r="E468" s="8">
        <f t="shared" si="120"/>
        <v>45791</v>
      </c>
      <c r="F468" s="8">
        <f t="shared" si="40"/>
        <v>45792</v>
      </c>
      <c r="G468" s="9">
        <f t="shared" si="121"/>
        <v>466</v>
      </c>
      <c r="H468" s="7" t="s">
        <v>23</v>
      </c>
    </row>
    <row r="469" ht="18.75" customHeight="1">
      <c r="A469" s="131"/>
      <c r="B469" s="43">
        <f t="shared" si="2"/>
        <v>468</v>
      </c>
      <c r="C469" s="76" t="s">
        <v>493</v>
      </c>
      <c r="D469" s="110">
        <v>2.0</v>
      </c>
      <c r="E469" s="8">
        <f t="shared" si="120"/>
        <v>45792</v>
      </c>
      <c r="F469" s="8">
        <f t="shared" si="40"/>
        <v>45794</v>
      </c>
      <c r="G469" s="9">
        <f t="shared" si="121"/>
        <v>467</v>
      </c>
      <c r="H469" s="7" t="s">
        <v>23</v>
      </c>
    </row>
    <row r="470" ht="18.75" customHeight="1">
      <c r="A470" s="131"/>
      <c r="B470" s="43">
        <f t="shared" si="2"/>
        <v>469</v>
      </c>
      <c r="C470" s="76" t="s">
        <v>494</v>
      </c>
      <c r="D470" s="115">
        <v>1.0</v>
      </c>
      <c r="E470" s="8">
        <f t="shared" si="120"/>
        <v>45794</v>
      </c>
      <c r="F470" s="8">
        <f t="shared" si="40"/>
        <v>45795</v>
      </c>
      <c r="G470" s="9">
        <f t="shared" si="121"/>
        <v>468</v>
      </c>
      <c r="H470" s="7" t="s">
        <v>49</v>
      </c>
    </row>
    <row r="471" ht="18.75" customHeight="1">
      <c r="A471" s="97" t="s">
        <v>495</v>
      </c>
      <c r="B471" s="43">
        <f t="shared" si="2"/>
        <v>470</v>
      </c>
      <c r="C471" s="80" t="s">
        <v>496</v>
      </c>
      <c r="D471" s="101">
        <v>1.0</v>
      </c>
      <c r="E471" s="8">
        <f>F441</f>
        <v>45779</v>
      </c>
      <c r="F471" s="8">
        <f t="shared" si="40"/>
        <v>45780</v>
      </c>
      <c r="G471" s="9">
        <f>B441</f>
        <v>440</v>
      </c>
      <c r="H471" s="7" t="s">
        <v>10</v>
      </c>
    </row>
    <row r="472" ht="18.75" customHeight="1">
      <c r="A472" s="195"/>
      <c r="B472" s="43">
        <f t="shared" si="2"/>
        <v>471</v>
      </c>
      <c r="C472" s="80" t="s">
        <v>497</v>
      </c>
      <c r="D472" s="115">
        <v>2.0</v>
      </c>
      <c r="E472" s="8">
        <f t="shared" ref="E472:E475" si="122">F471</f>
        <v>45780</v>
      </c>
      <c r="F472" s="8">
        <f t="shared" si="40"/>
        <v>45782</v>
      </c>
      <c r="G472" s="9">
        <f t="shared" ref="G472:G475" si="123">B471</f>
        <v>470</v>
      </c>
      <c r="H472" s="7" t="s">
        <v>23</v>
      </c>
    </row>
    <row r="473" ht="18.75" customHeight="1">
      <c r="A473" s="195"/>
      <c r="B473" s="43">
        <f t="shared" si="2"/>
        <v>472</v>
      </c>
      <c r="C473" s="80" t="s">
        <v>498</v>
      </c>
      <c r="D473" s="115">
        <v>2.0</v>
      </c>
      <c r="E473" s="8">
        <f t="shared" si="122"/>
        <v>45782</v>
      </c>
      <c r="F473" s="8">
        <f t="shared" si="40"/>
        <v>45784</v>
      </c>
      <c r="G473" s="9">
        <f t="shared" si="123"/>
        <v>471</v>
      </c>
      <c r="H473" s="7" t="s">
        <v>23</v>
      </c>
    </row>
    <row r="474" ht="18.75" customHeight="1">
      <c r="A474" s="195"/>
      <c r="B474" s="43">
        <f t="shared" si="2"/>
        <v>473</v>
      </c>
      <c r="C474" s="80" t="s">
        <v>499</v>
      </c>
      <c r="D474" s="110">
        <v>4.0</v>
      </c>
      <c r="E474" s="8">
        <f t="shared" si="122"/>
        <v>45784</v>
      </c>
      <c r="F474" s="8">
        <f t="shared" si="40"/>
        <v>45788</v>
      </c>
      <c r="G474" s="9">
        <f t="shared" si="123"/>
        <v>472</v>
      </c>
      <c r="H474" s="7" t="s">
        <v>23</v>
      </c>
    </row>
    <row r="475" ht="18.75" customHeight="1">
      <c r="A475" s="195"/>
      <c r="B475" s="43">
        <f t="shared" si="2"/>
        <v>474</v>
      </c>
      <c r="C475" s="80" t="s">
        <v>500</v>
      </c>
      <c r="D475" s="108">
        <v>2.0</v>
      </c>
      <c r="E475" s="8">
        <f t="shared" si="122"/>
        <v>45788</v>
      </c>
      <c r="F475" s="8">
        <f t="shared" si="40"/>
        <v>45790</v>
      </c>
      <c r="G475" s="9">
        <f t="shared" si="123"/>
        <v>473</v>
      </c>
      <c r="H475" s="7" t="s">
        <v>49</v>
      </c>
    </row>
    <row r="476" ht="18.75" customHeight="1">
      <c r="A476" s="195"/>
      <c r="B476" s="43">
        <f t="shared" si="2"/>
        <v>475</v>
      </c>
      <c r="C476" s="80" t="s">
        <v>501</v>
      </c>
      <c r="D476" s="21">
        <v>1.0</v>
      </c>
      <c r="E476" s="8">
        <f>F452</f>
        <v>45795</v>
      </c>
      <c r="F476" s="8">
        <f t="shared" si="40"/>
        <v>45796</v>
      </c>
      <c r="G476" s="9">
        <f>B452</f>
        <v>451</v>
      </c>
      <c r="H476" s="7" t="s">
        <v>10</v>
      </c>
    </row>
    <row r="477" ht="18.75" customHeight="1">
      <c r="A477" s="195"/>
      <c r="B477" s="43">
        <f t="shared" si="2"/>
        <v>476</v>
      </c>
      <c r="C477" s="80" t="s">
        <v>502</v>
      </c>
      <c r="D477" s="115">
        <v>1.0</v>
      </c>
      <c r="E477" s="8">
        <f t="shared" ref="E477:E479" si="124">F476</f>
        <v>45796</v>
      </c>
      <c r="F477" s="8">
        <f t="shared" si="40"/>
        <v>45797</v>
      </c>
      <c r="G477" s="9">
        <f t="shared" ref="G477:G479" si="125">B476</f>
        <v>475</v>
      </c>
      <c r="H477" s="7" t="s">
        <v>23</v>
      </c>
    </row>
    <row r="478" ht="18.75" customHeight="1">
      <c r="A478" s="195"/>
      <c r="B478" s="43">
        <f t="shared" si="2"/>
        <v>477</v>
      </c>
      <c r="C478" s="80" t="s">
        <v>503</v>
      </c>
      <c r="D478" s="110">
        <v>2.0</v>
      </c>
      <c r="E478" s="8">
        <f t="shared" si="124"/>
        <v>45797</v>
      </c>
      <c r="F478" s="8">
        <f t="shared" si="40"/>
        <v>45799</v>
      </c>
      <c r="G478" s="9">
        <f t="shared" si="125"/>
        <v>476</v>
      </c>
      <c r="H478" s="7" t="s">
        <v>23</v>
      </c>
    </row>
    <row r="479" ht="18.75" customHeight="1">
      <c r="A479" s="195"/>
      <c r="B479" s="43">
        <f t="shared" si="2"/>
        <v>478</v>
      </c>
      <c r="C479" s="80" t="s">
        <v>504</v>
      </c>
      <c r="D479" s="115">
        <v>1.0</v>
      </c>
      <c r="E479" s="8">
        <f t="shared" si="124"/>
        <v>45799</v>
      </c>
      <c r="F479" s="8">
        <f t="shared" si="40"/>
        <v>45800</v>
      </c>
      <c r="G479" s="9">
        <f t="shared" si="125"/>
        <v>477</v>
      </c>
      <c r="H479" s="7" t="s">
        <v>49</v>
      </c>
    </row>
    <row r="480" ht="18.75" customHeight="1">
      <c r="A480" s="196"/>
      <c r="B480" s="43">
        <f t="shared" si="2"/>
        <v>479</v>
      </c>
      <c r="C480" s="80" t="s">
        <v>505</v>
      </c>
      <c r="D480" s="101">
        <v>1.0</v>
      </c>
      <c r="E480" s="8">
        <f>F442</f>
        <v>45779</v>
      </c>
      <c r="F480" s="8">
        <f t="shared" si="40"/>
        <v>45780</v>
      </c>
      <c r="G480" s="9">
        <f>B442</f>
        <v>441</v>
      </c>
      <c r="H480" s="7" t="s">
        <v>10</v>
      </c>
    </row>
    <row r="481" ht="18.75" customHeight="1">
      <c r="A481" s="195"/>
      <c r="B481" s="43">
        <f t="shared" si="2"/>
        <v>480</v>
      </c>
      <c r="C481" s="80" t="s">
        <v>506</v>
      </c>
      <c r="D481" s="115">
        <v>2.0</v>
      </c>
      <c r="E481" s="8">
        <f t="shared" ref="E481:E484" si="126">F480</f>
        <v>45780</v>
      </c>
      <c r="F481" s="8">
        <f t="shared" si="40"/>
        <v>45782</v>
      </c>
      <c r="G481" s="9">
        <f t="shared" ref="G481:G484" si="127">B480</f>
        <v>479</v>
      </c>
      <c r="H481" s="7" t="s">
        <v>23</v>
      </c>
    </row>
    <row r="482" ht="18.75" customHeight="1">
      <c r="A482" s="195"/>
      <c r="B482" s="43">
        <f t="shared" si="2"/>
        <v>481</v>
      </c>
      <c r="C482" s="80" t="s">
        <v>507</v>
      </c>
      <c r="D482" s="115">
        <v>2.0</v>
      </c>
      <c r="E482" s="8">
        <f t="shared" si="126"/>
        <v>45782</v>
      </c>
      <c r="F482" s="8">
        <f t="shared" si="40"/>
        <v>45784</v>
      </c>
      <c r="G482" s="9">
        <f t="shared" si="127"/>
        <v>480</v>
      </c>
      <c r="H482" s="7" t="s">
        <v>23</v>
      </c>
    </row>
    <row r="483" ht="18.75" customHeight="1">
      <c r="A483" s="195"/>
      <c r="B483" s="43">
        <f t="shared" si="2"/>
        <v>482</v>
      </c>
      <c r="C483" s="80" t="s">
        <v>508</v>
      </c>
      <c r="D483" s="110">
        <v>4.0</v>
      </c>
      <c r="E483" s="8">
        <f t="shared" si="126"/>
        <v>45784</v>
      </c>
      <c r="F483" s="8">
        <f t="shared" si="40"/>
        <v>45788</v>
      </c>
      <c r="G483" s="9">
        <f t="shared" si="127"/>
        <v>481</v>
      </c>
      <c r="H483" s="7" t="s">
        <v>23</v>
      </c>
    </row>
    <row r="484" ht="18.75" customHeight="1">
      <c r="A484" s="195"/>
      <c r="B484" s="43">
        <f t="shared" si="2"/>
        <v>483</v>
      </c>
      <c r="C484" s="80" t="s">
        <v>509</v>
      </c>
      <c r="D484" s="108">
        <v>2.0</v>
      </c>
      <c r="E484" s="8">
        <f t="shared" si="126"/>
        <v>45788</v>
      </c>
      <c r="F484" s="8">
        <f t="shared" si="40"/>
        <v>45790</v>
      </c>
      <c r="G484" s="9">
        <f t="shared" si="127"/>
        <v>482</v>
      </c>
      <c r="H484" s="7" t="s">
        <v>49</v>
      </c>
    </row>
    <row r="485" ht="18.75" customHeight="1">
      <c r="A485" s="195"/>
      <c r="B485" s="43">
        <f t="shared" si="2"/>
        <v>484</v>
      </c>
      <c r="C485" s="80" t="s">
        <v>510</v>
      </c>
      <c r="D485" s="21">
        <v>1.0</v>
      </c>
      <c r="E485" s="8">
        <f>F461</f>
        <v>45795</v>
      </c>
      <c r="F485" s="8">
        <f t="shared" si="40"/>
        <v>45796</v>
      </c>
      <c r="G485" s="9">
        <f>B461</f>
        <v>460</v>
      </c>
      <c r="H485" s="7" t="s">
        <v>10</v>
      </c>
    </row>
    <row r="486" ht="18.75" customHeight="1">
      <c r="A486" s="195"/>
      <c r="B486" s="43">
        <f t="shared" si="2"/>
        <v>485</v>
      </c>
      <c r="C486" s="80" t="s">
        <v>511</v>
      </c>
      <c r="D486" s="115">
        <v>1.0</v>
      </c>
      <c r="E486" s="8">
        <f t="shared" ref="E486:E488" si="128">F485</f>
        <v>45796</v>
      </c>
      <c r="F486" s="8">
        <f t="shared" si="40"/>
        <v>45797</v>
      </c>
      <c r="G486" s="9">
        <f t="shared" ref="G486:G488" si="129">B485</f>
        <v>484</v>
      </c>
      <c r="H486" s="7" t="s">
        <v>23</v>
      </c>
    </row>
    <row r="487" ht="18.75" customHeight="1">
      <c r="A487" s="195"/>
      <c r="B487" s="43">
        <f t="shared" si="2"/>
        <v>486</v>
      </c>
      <c r="C487" s="80" t="s">
        <v>512</v>
      </c>
      <c r="D487" s="110">
        <v>2.0</v>
      </c>
      <c r="E487" s="8">
        <f t="shared" si="128"/>
        <v>45797</v>
      </c>
      <c r="F487" s="8">
        <f t="shared" si="40"/>
        <v>45799</v>
      </c>
      <c r="G487" s="9">
        <f t="shared" si="129"/>
        <v>485</v>
      </c>
      <c r="H487" s="7" t="s">
        <v>23</v>
      </c>
    </row>
    <row r="488" ht="18.75" customHeight="1">
      <c r="A488" s="195"/>
      <c r="B488" s="43">
        <f t="shared" si="2"/>
        <v>487</v>
      </c>
      <c r="C488" s="80" t="s">
        <v>513</v>
      </c>
      <c r="D488" s="115">
        <v>1.0</v>
      </c>
      <c r="E488" s="8">
        <f t="shared" si="128"/>
        <v>45799</v>
      </c>
      <c r="F488" s="8">
        <f t="shared" si="40"/>
        <v>45800</v>
      </c>
      <c r="G488" s="9">
        <f t="shared" si="129"/>
        <v>486</v>
      </c>
      <c r="H488" s="7" t="s">
        <v>49</v>
      </c>
    </row>
    <row r="489" ht="18.75" customHeight="1">
      <c r="A489" s="196"/>
      <c r="B489" s="43">
        <f t="shared" si="2"/>
        <v>488</v>
      </c>
      <c r="C489" s="80" t="s">
        <v>514</v>
      </c>
      <c r="D489" s="101">
        <v>1.0</v>
      </c>
      <c r="E489" s="8">
        <f>F443</f>
        <v>45779</v>
      </c>
      <c r="F489" s="8">
        <f t="shared" si="40"/>
        <v>45780</v>
      </c>
      <c r="G489" s="9">
        <f>B443</f>
        <v>442</v>
      </c>
      <c r="H489" s="7" t="s">
        <v>10</v>
      </c>
    </row>
    <row r="490" ht="18.75" customHeight="1">
      <c r="A490" s="195"/>
      <c r="B490" s="43">
        <f t="shared" si="2"/>
        <v>489</v>
      </c>
      <c r="C490" s="80" t="s">
        <v>515</v>
      </c>
      <c r="D490" s="115">
        <v>2.0</v>
      </c>
      <c r="E490" s="8">
        <f t="shared" ref="E490:E493" si="130">F489</f>
        <v>45780</v>
      </c>
      <c r="F490" s="8">
        <f t="shared" si="40"/>
        <v>45782</v>
      </c>
      <c r="G490" s="9">
        <f t="shared" ref="G490:G493" si="131">B489</f>
        <v>488</v>
      </c>
      <c r="H490" s="7" t="s">
        <v>23</v>
      </c>
    </row>
    <row r="491" ht="18.75" customHeight="1">
      <c r="A491" s="195"/>
      <c r="B491" s="43">
        <f t="shared" si="2"/>
        <v>490</v>
      </c>
      <c r="C491" s="80" t="s">
        <v>516</v>
      </c>
      <c r="D491" s="115">
        <v>2.0</v>
      </c>
      <c r="E491" s="8">
        <f t="shared" si="130"/>
        <v>45782</v>
      </c>
      <c r="F491" s="8">
        <f t="shared" si="40"/>
        <v>45784</v>
      </c>
      <c r="G491" s="9">
        <f t="shared" si="131"/>
        <v>489</v>
      </c>
      <c r="H491" s="7" t="s">
        <v>23</v>
      </c>
    </row>
    <row r="492" ht="18.75" customHeight="1">
      <c r="A492" s="195"/>
      <c r="B492" s="43">
        <f t="shared" si="2"/>
        <v>491</v>
      </c>
      <c r="C492" s="80" t="s">
        <v>517</v>
      </c>
      <c r="D492" s="110">
        <v>4.0</v>
      </c>
      <c r="E492" s="8">
        <f t="shared" si="130"/>
        <v>45784</v>
      </c>
      <c r="F492" s="8">
        <f t="shared" si="40"/>
        <v>45788</v>
      </c>
      <c r="G492" s="9">
        <f t="shared" si="131"/>
        <v>490</v>
      </c>
      <c r="H492" s="7" t="s">
        <v>23</v>
      </c>
    </row>
    <row r="493" ht="18.75" customHeight="1">
      <c r="A493" s="195"/>
      <c r="B493" s="43">
        <f t="shared" si="2"/>
        <v>492</v>
      </c>
      <c r="C493" s="80" t="s">
        <v>518</v>
      </c>
      <c r="D493" s="108">
        <v>2.0</v>
      </c>
      <c r="E493" s="8">
        <f t="shared" si="130"/>
        <v>45788</v>
      </c>
      <c r="F493" s="8">
        <f t="shared" si="40"/>
        <v>45790</v>
      </c>
      <c r="G493" s="9">
        <f t="shared" si="131"/>
        <v>491</v>
      </c>
      <c r="H493" s="7" t="s">
        <v>49</v>
      </c>
    </row>
    <row r="494" ht="18.75" customHeight="1">
      <c r="A494" s="195"/>
      <c r="B494" s="43">
        <f t="shared" si="2"/>
        <v>493</v>
      </c>
      <c r="C494" s="80" t="s">
        <v>519</v>
      </c>
      <c r="D494" s="21">
        <v>1.0</v>
      </c>
      <c r="E494" s="8">
        <f>F470</f>
        <v>45795</v>
      </c>
      <c r="F494" s="8">
        <f t="shared" si="40"/>
        <v>45796</v>
      </c>
      <c r="G494" s="9">
        <f>B470</f>
        <v>469</v>
      </c>
      <c r="H494" s="7" t="s">
        <v>10</v>
      </c>
    </row>
    <row r="495" ht="18.75" customHeight="1">
      <c r="A495" s="195"/>
      <c r="B495" s="43">
        <f t="shared" si="2"/>
        <v>494</v>
      </c>
      <c r="C495" s="80" t="s">
        <v>520</v>
      </c>
      <c r="D495" s="115">
        <v>1.0</v>
      </c>
      <c r="E495" s="8">
        <f t="shared" ref="E495:E497" si="132">F494</f>
        <v>45796</v>
      </c>
      <c r="F495" s="8">
        <f t="shared" si="40"/>
        <v>45797</v>
      </c>
      <c r="G495" s="9">
        <f t="shared" ref="G495:G497" si="133">B494</f>
        <v>493</v>
      </c>
      <c r="H495" s="7" t="s">
        <v>23</v>
      </c>
    </row>
    <row r="496" ht="18.75" customHeight="1">
      <c r="A496" s="195"/>
      <c r="B496" s="43">
        <f t="shared" si="2"/>
        <v>495</v>
      </c>
      <c r="C496" s="80" t="s">
        <v>521</v>
      </c>
      <c r="D496" s="110">
        <v>2.0</v>
      </c>
      <c r="E496" s="8">
        <f t="shared" si="132"/>
        <v>45797</v>
      </c>
      <c r="F496" s="8">
        <f t="shared" si="40"/>
        <v>45799</v>
      </c>
      <c r="G496" s="9">
        <f t="shared" si="133"/>
        <v>494</v>
      </c>
      <c r="H496" s="7" t="s">
        <v>23</v>
      </c>
    </row>
    <row r="497" ht="18.75" customHeight="1">
      <c r="A497" s="195"/>
      <c r="B497" s="43">
        <f t="shared" si="2"/>
        <v>496</v>
      </c>
      <c r="C497" s="80" t="s">
        <v>522</v>
      </c>
      <c r="D497" s="115">
        <v>1.0</v>
      </c>
      <c r="E497" s="8">
        <f t="shared" si="132"/>
        <v>45799</v>
      </c>
      <c r="F497" s="8">
        <f t="shared" si="40"/>
        <v>45800</v>
      </c>
      <c r="G497" s="9">
        <f t="shared" si="133"/>
        <v>495</v>
      </c>
      <c r="H497" s="7" t="s">
        <v>49</v>
      </c>
    </row>
    <row r="498" ht="18.75" customHeight="1">
      <c r="A498" s="15" t="s">
        <v>523</v>
      </c>
      <c r="B498" s="43">
        <f t="shared" si="2"/>
        <v>497</v>
      </c>
      <c r="C498" s="16" t="s">
        <v>524</v>
      </c>
      <c r="D498" s="101">
        <v>1.0</v>
      </c>
      <c r="E498" s="8">
        <f>E471</f>
        <v>45779</v>
      </c>
      <c r="F498" s="8">
        <f t="shared" si="40"/>
        <v>45780</v>
      </c>
      <c r="G498" s="9">
        <f>B441</f>
        <v>440</v>
      </c>
      <c r="H498" s="7" t="s">
        <v>10</v>
      </c>
    </row>
    <row r="499" ht="18.75" customHeight="1">
      <c r="A499" s="121"/>
      <c r="B499" s="43">
        <f t="shared" si="2"/>
        <v>498</v>
      </c>
      <c r="C499" s="16" t="s">
        <v>525</v>
      </c>
      <c r="D499" s="115">
        <v>2.0</v>
      </c>
      <c r="E499" s="8">
        <f t="shared" ref="E499:E502" si="134">F498</f>
        <v>45780</v>
      </c>
      <c r="F499" s="8">
        <f t="shared" si="40"/>
        <v>45782</v>
      </c>
      <c r="G499" s="9">
        <f t="shared" ref="G499:G502" si="135">B498</f>
        <v>497</v>
      </c>
      <c r="H499" s="7" t="s">
        <v>23</v>
      </c>
    </row>
    <row r="500" ht="18.75" customHeight="1">
      <c r="A500" s="121"/>
      <c r="B500" s="43">
        <f t="shared" si="2"/>
        <v>499</v>
      </c>
      <c r="C500" s="16" t="s">
        <v>526</v>
      </c>
      <c r="D500" s="115">
        <v>2.0</v>
      </c>
      <c r="E500" s="8">
        <f t="shared" si="134"/>
        <v>45782</v>
      </c>
      <c r="F500" s="8">
        <f t="shared" si="40"/>
        <v>45784</v>
      </c>
      <c r="G500" s="9">
        <f t="shared" si="135"/>
        <v>498</v>
      </c>
      <c r="H500" s="7" t="s">
        <v>23</v>
      </c>
    </row>
    <row r="501" ht="18.75" customHeight="1">
      <c r="A501" s="121"/>
      <c r="B501" s="43">
        <f t="shared" si="2"/>
        <v>500</v>
      </c>
      <c r="C501" s="16" t="s">
        <v>527</v>
      </c>
      <c r="D501" s="110">
        <v>4.0</v>
      </c>
      <c r="E501" s="8">
        <f t="shared" si="134"/>
        <v>45784</v>
      </c>
      <c r="F501" s="8">
        <f t="shared" si="40"/>
        <v>45788</v>
      </c>
      <c r="G501" s="9">
        <f t="shared" si="135"/>
        <v>499</v>
      </c>
      <c r="H501" s="7" t="s">
        <v>23</v>
      </c>
    </row>
    <row r="502" ht="18.75" customHeight="1">
      <c r="A502" s="121"/>
      <c r="B502" s="43">
        <f t="shared" si="2"/>
        <v>501</v>
      </c>
      <c r="C502" s="16" t="s">
        <v>528</v>
      </c>
      <c r="D502" s="108">
        <v>2.0</v>
      </c>
      <c r="E502" s="8">
        <f t="shared" si="134"/>
        <v>45788</v>
      </c>
      <c r="F502" s="8">
        <f t="shared" si="40"/>
        <v>45790</v>
      </c>
      <c r="G502" s="9">
        <f t="shared" si="135"/>
        <v>500</v>
      </c>
      <c r="H502" s="7" t="s">
        <v>49</v>
      </c>
    </row>
    <row r="503" ht="18.75" customHeight="1">
      <c r="A503" s="121"/>
      <c r="B503" s="43">
        <f t="shared" si="2"/>
        <v>502</v>
      </c>
      <c r="C503" s="16" t="s">
        <v>529</v>
      </c>
      <c r="D503" s="21">
        <v>1.0</v>
      </c>
      <c r="E503" s="8">
        <f>F479</f>
        <v>45800</v>
      </c>
      <c r="F503" s="8">
        <f t="shared" si="40"/>
        <v>45801</v>
      </c>
      <c r="G503" s="9">
        <f>B479</f>
        <v>478</v>
      </c>
      <c r="H503" s="7" t="s">
        <v>10</v>
      </c>
    </row>
    <row r="504" ht="18.75" customHeight="1">
      <c r="A504" s="121"/>
      <c r="B504" s="43">
        <f t="shared" si="2"/>
        <v>503</v>
      </c>
      <c r="C504" s="16" t="s">
        <v>530</v>
      </c>
      <c r="D504" s="115">
        <v>1.0</v>
      </c>
      <c r="E504" s="8">
        <f t="shared" ref="E504:E506" si="136">F503</f>
        <v>45801</v>
      </c>
      <c r="F504" s="8">
        <f t="shared" si="40"/>
        <v>45802</v>
      </c>
      <c r="G504" s="9">
        <f t="shared" ref="G504:G506" si="137">B503</f>
        <v>502</v>
      </c>
      <c r="H504" s="7" t="s">
        <v>23</v>
      </c>
    </row>
    <row r="505" ht="18.75" customHeight="1">
      <c r="A505" s="121"/>
      <c r="B505" s="43">
        <f t="shared" si="2"/>
        <v>504</v>
      </c>
      <c r="C505" s="16" t="s">
        <v>531</v>
      </c>
      <c r="D505" s="110">
        <v>2.0</v>
      </c>
      <c r="E505" s="8">
        <f t="shared" si="136"/>
        <v>45802</v>
      </c>
      <c r="F505" s="8">
        <f t="shared" si="40"/>
        <v>45804</v>
      </c>
      <c r="G505" s="9">
        <f t="shared" si="137"/>
        <v>503</v>
      </c>
      <c r="H505" s="7" t="s">
        <v>23</v>
      </c>
    </row>
    <row r="506" ht="18.75" customHeight="1">
      <c r="A506" s="121"/>
      <c r="B506" s="43">
        <f t="shared" si="2"/>
        <v>505</v>
      </c>
      <c r="C506" s="16" t="s">
        <v>532</v>
      </c>
      <c r="D506" s="115">
        <v>1.0</v>
      </c>
      <c r="E506" s="8">
        <f t="shared" si="136"/>
        <v>45804</v>
      </c>
      <c r="F506" s="8">
        <f t="shared" si="40"/>
        <v>45805</v>
      </c>
      <c r="G506" s="9">
        <f t="shared" si="137"/>
        <v>504</v>
      </c>
      <c r="H506" s="7" t="s">
        <v>49</v>
      </c>
    </row>
    <row r="507" ht="18.75" customHeight="1">
      <c r="A507" s="197"/>
      <c r="B507" s="43">
        <f t="shared" si="2"/>
        <v>506</v>
      </c>
      <c r="C507" s="16" t="s">
        <v>533</v>
      </c>
      <c r="D507" s="101">
        <v>1.0</v>
      </c>
      <c r="E507" s="8">
        <f>E480</f>
        <v>45779</v>
      </c>
      <c r="F507" s="8">
        <f t="shared" si="40"/>
        <v>45780</v>
      </c>
      <c r="G507" s="9">
        <f>B442</f>
        <v>441</v>
      </c>
      <c r="H507" s="7" t="s">
        <v>10</v>
      </c>
    </row>
    <row r="508" ht="18.75" customHeight="1">
      <c r="A508" s="121"/>
      <c r="B508" s="43">
        <f t="shared" si="2"/>
        <v>507</v>
      </c>
      <c r="C508" s="16" t="s">
        <v>534</v>
      </c>
      <c r="D508" s="115">
        <v>2.0</v>
      </c>
      <c r="E508" s="8">
        <f t="shared" ref="E508:E511" si="138">F507</f>
        <v>45780</v>
      </c>
      <c r="F508" s="8">
        <f t="shared" si="40"/>
        <v>45782</v>
      </c>
      <c r="G508" s="9">
        <f t="shared" ref="G508:G511" si="139">B507</f>
        <v>506</v>
      </c>
      <c r="H508" s="7" t="s">
        <v>23</v>
      </c>
    </row>
    <row r="509" ht="18.75" customHeight="1">
      <c r="A509" s="121"/>
      <c r="B509" s="43">
        <f t="shared" si="2"/>
        <v>508</v>
      </c>
      <c r="C509" s="16" t="s">
        <v>535</v>
      </c>
      <c r="D509" s="115">
        <v>2.0</v>
      </c>
      <c r="E509" s="8">
        <f t="shared" si="138"/>
        <v>45782</v>
      </c>
      <c r="F509" s="8">
        <f t="shared" si="40"/>
        <v>45784</v>
      </c>
      <c r="G509" s="9">
        <f t="shared" si="139"/>
        <v>507</v>
      </c>
      <c r="H509" s="7" t="s">
        <v>23</v>
      </c>
    </row>
    <row r="510" ht="18.75" customHeight="1">
      <c r="A510" s="121"/>
      <c r="B510" s="43">
        <f t="shared" si="2"/>
        <v>509</v>
      </c>
      <c r="C510" s="16" t="s">
        <v>536</v>
      </c>
      <c r="D510" s="110">
        <v>4.0</v>
      </c>
      <c r="E510" s="8">
        <f t="shared" si="138"/>
        <v>45784</v>
      </c>
      <c r="F510" s="8">
        <f t="shared" si="40"/>
        <v>45788</v>
      </c>
      <c r="G510" s="9">
        <f t="shared" si="139"/>
        <v>508</v>
      </c>
      <c r="H510" s="7" t="s">
        <v>23</v>
      </c>
    </row>
    <row r="511" ht="18.75" customHeight="1">
      <c r="A511" s="121"/>
      <c r="B511" s="43">
        <f t="shared" si="2"/>
        <v>510</v>
      </c>
      <c r="C511" s="16" t="s">
        <v>537</v>
      </c>
      <c r="D511" s="108">
        <v>2.0</v>
      </c>
      <c r="E511" s="8">
        <f t="shared" si="138"/>
        <v>45788</v>
      </c>
      <c r="F511" s="8">
        <f t="shared" si="40"/>
        <v>45790</v>
      </c>
      <c r="G511" s="9">
        <f t="shared" si="139"/>
        <v>509</v>
      </c>
      <c r="H511" s="7" t="s">
        <v>49</v>
      </c>
    </row>
    <row r="512" ht="18.75" customHeight="1">
      <c r="A512" s="121"/>
      <c r="B512" s="43">
        <f t="shared" si="2"/>
        <v>511</v>
      </c>
      <c r="C512" s="16" t="s">
        <v>538</v>
      </c>
      <c r="D512" s="21">
        <v>1.0</v>
      </c>
      <c r="E512" s="8">
        <f>F488</f>
        <v>45800</v>
      </c>
      <c r="F512" s="8">
        <f t="shared" si="40"/>
        <v>45801</v>
      </c>
      <c r="G512" s="9">
        <f>B488</f>
        <v>487</v>
      </c>
      <c r="H512" s="7" t="s">
        <v>10</v>
      </c>
    </row>
    <row r="513" ht="18.75" customHeight="1">
      <c r="A513" s="121"/>
      <c r="B513" s="43">
        <f t="shared" si="2"/>
        <v>512</v>
      </c>
      <c r="C513" s="16" t="s">
        <v>539</v>
      </c>
      <c r="D513" s="115">
        <v>1.0</v>
      </c>
      <c r="E513" s="8">
        <f t="shared" ref="E513:E515" si="140">F512</f>
        <v>45801</v>
      </c>
      <c r="F513" s="8">
        <f t="shared" si="40"/>
        <v>45802</v>
      </c>
      <c r="G513" s="9">
        <f t="shared" ref="G513:G515" si="141">B512</f>
        <v>511</v>
      </c>
      <c r="H513" s="7" t="s">
        <v>23</v>
      </c>
    </row>
    <row r="514" ht="18.75" customHeight="1">
      <c r="A514" s="121"/>
      <c r="B514" s="43">
        <f t="shared" si="2"/>
        <v>513</v>
      </c>
      <c r="C514" s="16" t="s">
        <v>540</v>
      </c>
      <c r="D514" s="110">
        <v>2.0</v>
      </c>
      <c r="E514" s="8">
        <f t="shared" si="140"/>
        <v>45802</v>
      </c>
      <c r="F514" s="8">
        <f t="shared" si="40"/>
        <v>45804</v>
      </c>
      <c r="G514" s="9">
        <f t="shared" si="141"/>
        <v>512</v>
      </c>
      <c r="H514" s="7" t="s">
        <v>23</v>
      </c>
    </row>
    <row r="515" ht="18.75" customHeight="1">
      <c r="A515" s="121"/>
      <c r="B515" s="43">
        <f t="shared" si="2"/>
        <v>514</v>
      </c>
      <c r="C515" s="16" t="s">
        <v>541</v>
      </c>
      <c r="D515" s="115">
        <v>1.0</v>
      </c>
      <c r="E515" s="8">
        <f t="shared" si="140"/>
        <v>45804</v>
      </c>
      <c r="F515" s="8">
        <f t="shared" si="40"/>
        <v>45805</v>
      </c>
      <c r="G515" s="9">
        <f t="shared" si="141"/>
        <v>513</v>
      </c>
      <c r="H515" s="7" t="s">
        <v>49</v>
      </c>
    </row>
    <row r="516" ht="18.75" customHeight="1">
      <c r="A516" s="197"/>
      <c r="B516" s="43">
        <f t="shared" si="2"/>
        <v>515</v>
      </c>
      <c r="C516" s="16" t="s">
        <v>542</v>
      </c>
      <c r="D516" s="101">
        <v>1.0</v>
      </c>
      <c r="E516" s="8">
        <f>E489</f>
        <v>45779</v>
      </c>
      <c r="F516" s="8">
        <f t="shared" si="40"/>
        <v>45780</v>
      </c>
      <c r="G516" s="9">
        <f>B443</f>
        <v>442</v>
      </c>
      <c r="H516" s="7" t="s">
        <v>10</v>
      </c>
    </row>
    <row r="517" ht="18.75" customHeight="1">
      <c r="A517" s="121"/>
      <c r="B517" s="43">
        <f t="shared" si="2"/>
        <v>516</v>
      </c>
      <c r="C517" s="16" t="s">
        <v>543</v>
      </c>
      <c r="D517" s="115">
        <v>2.0</v>
      </c>
      <c r="E517" s="8">
        <f t="shared" ref="E517:E520" si="142">F516</f>
        <v>45780</v>
      </c>
      <c r="F517" s="8">
        <f t="shared" si="40"/>
        <v>45782</v>
      </c>
      <c r="G517" s="9">
        <f t="shared" ref="G517:G520" si="143">B516</f>
        <v>515</v>
      </c>
      <c r="H517" s="7" t="s">
        <v>23</v>
      </c>
    </row>
    <row r="518" ht="18.75" customHeight="1">
      <c r="A518" s="121"/>
      <c r="B518" s="43">
        <f t="shared" si="2"/>
        <v>517</v>
      </c>
      <c r="C518" s="16" t="s">
        <v>544</v>
      </c>
      <c r="D518" s="115">
        <v>2.0</v>
      </c>
      <c r="E518" s="8">
        <f t="shared" si="142"/>
        <v>45782</v>
      </c>
      <c r="F518" s="8">
        <f t="shared" si="40"/>
        <v>45784</v>
      </c>
      <c r="G518" s="9">
        <f t="shared" si="143"/>
        <v>516</v>
      </c>
      <c r="H518" s="7" t="s">
        <v>23</v>
      </c>
    </row>
    <row r="519" ht="18.75" customHeight="1">
      <c r="A519" s="121"/>
      <c r="B519" s="43">
        <f t="shared" si="2"/>
        <v>518</v>
      </c>
      <c r="C519" s="16" t="s">
        <v>545</v>
      </c>
      <c r="D519" s="110">
        <v>4.0</v>
      </c>
      <c r="E519" s="8">
        <f t="shared" si="142"/>
        <v>45784</v>
      </c>
      <c r="F519" s="8">
        <f t="shared" si="40"/>
        <v>45788</v>
      </c>
      <c r="G519" s="9">
        <f t="shared" si="143"/>
        <v>517</v>
      </c>
      <c r="H519" s="7" t="s">
        <v>23</v>
      </c>
    </row>
    <row r="520" ht="18.75" customHeight="1">
      <c r="A520" s="121"/>
      <c r="B520" s="43">
        <f t="shared" si="2"/>
        <v>519</v>
      </c>
      <c r="C520" s="16" t="s">
        <v>546</v>
      </c>
      <c r="D520" s="108">
        <v>2.0</v>
      </c>
      <c r="E520" s="8">
        <f t="shared" si="142"/>
        <v>45788</v>
      </c>
      <c r="F520" s="8">
        <f t="shared" si="40"/>
        <v>45790</v>
      </c>
      <c r="G520" s="9">
        <f t="shared" si="143"/>
        <v>518</v>
      </c>
      <c r="H520" s="7" t="s">
        <v>49</v>
      </c>
    </row>
    <row r="521" ht="18.75" customHeight="1">
      <c r="A521" s="121"/>
      <c r="B521" s="43">
        <f t="shared" si="2"/>
        <v>520</v>
      </c>
      <c r="C521" s="16" t="s">
        <v>547</v>
      </c>
      <c r="D521" s="21">
        <v>1.0</v>
      </c>
      <c r="E521" s="8">
        <f>F497</f>
        <v>45800</v>
      </c>
      <c r="F521" s="8">
        <f t="shared" si="40"/>
        <v>45801</v>
      </c>
      <c r="G521" s="9">
        <f>B497</f>
        <v>496</v>
      </c>
      <c r="H521" s="7" t="s">
        <v>10</v>
      </c>
    </row>
    <row r="522" ht="18.75" customHeight="1">
      <c r="A522" s="121"/>
      <c r="B522" s="43">
        <f t="shared" si="2"/>
        <v>521</v>
      </c>
      <c r="C522" s="16" t="s">
        <v>548</v>
      </c>
      <c r="D522" s="115">
        <v>1.0</v>
      </c>
      <c r="E522" s="8">
        <f t="shared" ref="E522:E524" si="144">F521</f>
        <v>45801</v>
      </c>
      <c r="F522" s="8">
        <f t="shared" si="40"/>
        <v>45802</v>
      </c>
      <c r="G522" s="9">
        <f t="shared" ref="G522:G524" si="145">B521</f>
        <v>520</v>
      </c>
      <c r="H522" s="7" t="s">
        <v>23</v>
      </c>
    </row>
    <row r="523" ht="18.75" customHeight="1">
      <c r="A523" s="121"/>
      <c r="B523" s="43">
        <f t="shared" si="2"/>
        <v>522</v>
      </c>
      <c r="C523" s="16" t="s">
        <v>549</v>
      </c>
      <c r="D523" s="110">
        <v>2.0</v>
      </c>
      <c r="E523" s="8">
        <f t="shared" si="144"/>
        <v>45802</v>
      </c>
      <c r="F523" s="8">
        <f t="shared" si="40"/>
        <v>45804</v>
      </c>
      <c r="G523" s="9">
        <f t="shared" si="145"/>
        <v>521</v>
      </c>
      <c r="H523" s="7" t="s">
        <v>23</v>
      </c>
    </row>
    <row r="524" ht="18.75" customHeight="1">
      <c r="A524" s="121"/>
      <c r="B524" s="43">
        <f t="shared" si="2"/>
        <v>523</v>
      </c>
      <c r="C524" s="16" t="s">
        <v>550</v>
      </c>
      <c r="D524" s="115">
        <v>1.0</v>
      </c>
      <c r="E524" s="8">
        <f t="shared" si="144"/>
        <v>45804</v>
      </c>
      <c r="F524" s="8">
        <f t="shared" si="40"/>
        <v>45805</v>
      </c>
      <c r="G524" s="9">
        <f t="shared" si="145"/>
        <v>522</v>
      </c>
      <c r="H524" s="7" t="s">
        <v>49</v>
      </c>
    </row>
    <row r="525" ht="18.75" customHeight="1">
      <c r="A525" s="32" t="s">
        <v>551</v>
      </c>
      <c r="B525" s="43">
        <f t="shared" si="2"/>
        <v>524</v>
      </c>
      <c r="C525" s="33" t="s">
        <v>552</v>
      </c>
      <c r="D525" s="101">
        <v>1.0</v>
      </c>
      <c r="E525" s="8">
        <f>E498</f>
        <v>45779</v>
      </c>
      <c r="F525" s="8">
        <f t="shared" si="40"/>
        <v>45780</v>
      </c>
      <c r="G525" s="9">
        <f>B441</f>
        <v>440</v>
      </c>
      <c r="H525" s="7" t="s">
        <v>10</v>
      </c>
    </row>
    <row r="526" ht="18.75" customHeight="1">
      <c r="A526" s="134"/>
      <c r="B526" s="43">
        <f t="shared" si="2"/>
        <v>525</v>
      </c>
      <c r="C526" s="33" t="s">
        <v>553</v>
      </c>
      <c r="D526" s="115">
        <v>2.0</v>
      </c>
      <c r="E526" s="8">
        <f t="shared" ref="E526:E529" si="146">F525</f>
        <v>45780</v>
      </c>
      <c r="F526" s="8">
        <f t="shared" si="40"/>
        <v>45782</v>
      </c>
      <c r="G526" s="9">
        <f t="shared" ref="G526:G529" si="147">B525</f>
        <v>524</v>
      </c>
      <c r="H526" s="7" t="s">
        <v>23</v>
      </c>
    </row>
    <row r="527" ht="18.75" customHeight="1">
      <c r="A527" s="134"/>
      <c r="B527" s="43">
        <f t="shared" si="2"/>
        <v>526</v>
      </c>
      <c r="C527" s="33" t="s">
        <v>554</v>
      </c>
      <c r="D527" s="115">
        <v>2.0</v>
      </c>
      <c r="E527" s="8">
        <f t="shared" si="146"/>
        <v>45782</v>
      </c>
      <c r="F527" s="8">
        <f t="shared" si="40"/>
        <v>45784</v>
      </c>
      <c r="G527" s="9">
        <f t="shared" si="147"/>
        <v>525</v>
      </c>
      <c r="H527" s="7" t="s">
        <v>23</v>
      </c>
    </row>
    <row r="528" ht="18.75" customHeight="1">
      <c r="A528" s="134"/>
      <c r="B528" s="43">
        <f t="shared" si="2"/>
        <v>527</v>
      </c>
      <c r="C528" s="33" t="s">
        <v>555</v>
      </c>
      <c r="D528" s="110">
        <v>4.0</v>
      </c>
      <c r="E528" s="8">
        <f t="shared" si="146"/>
        <v>45784</v>
      </c>
      <c r="F528" s="8">
        <f t="shared" si="40"/>
        <v>45788</v>
      </c>
      <c r="G528" s="9">
        <f t="shared" si="147"/>
        <v>526</v>
      </c>
      <c r="H528" s="7" t="s">
        <v>23</v>
      </c>
    </row>
    <row r="529" ht="18.75" customHeight="1">
      <c r="A529" s="134"/>
      <c r="B529" s="43">
        <f t="shared" si="2"/>
        <v>528</v>
      </c>
      <c r="C529" s="33" t="s">
        <v>556</v>
      </c>
      <c r="D529" s="108">
        <v>2.0</v>
      </c>
      <c r="E529" s="8">
        <f t="shared" si="146"/>
        <v>45788</v>
      </c>
      <c r="F529" s="8">
        <f t="shared" si="40"/>
        <v>45790</v>
      </c>
      <c r="G529" s="9">
        <f t="shared" si="147"/>
        <v>527</v>
      </c>
      <c r="H529" s="7" t="s">
        <v>49</v>
      </c>
    </row>
    <row r="530" ht="18.75" customHeight="1">
      <c r="A530" s="134"/>
      <c r="B530" s="43">
        <f t="shared" si="2"/>
        <v>529</v>
      </c>
      <c r="C530" s="33" t="s">
        <v>557</v>
      </c>
      <c r="D530" s="21">
        <v>1.0</v>
      </c>
      <c r="E530" s="8">
        <f>F506</f>
        <v>45805</v>
      </c>
      <c r="F530" s="8">
        <f t="shared" si="40"/>
        <v>45806</v>
      </c>
      <c r="G530" s="9">
        <f>B506</f>
        <v>505</v>
      </c>
      <c r="H530" s="7" t="s">
        <v>10</v>
      </c>
    </row>
    <row r="531" ht="18.75" customHeight="1">
      <c r="A531" s="134"/>
      <c r="B531" s="43">
        <f t="shared" si="2"/>
        <v>530</v>
      </c>
      <c r="C531" s="33" t="s">
        <v>558</v>
      </c>
      <c r="D531" s="115">
        <v>1.0</v>
      </c>
      <c r="E531" s="8">
        <f t="shared" ref="E531:E533" si="148">F530</f>
        <v>45806</v>
      </c>
      <c r="F531" s="8">
        <f t="shared" si="40"/>
        <v>45807</v>
      </c>
      <c r="G531" s="9">
        <f t="shared" ref="G531:G533" si="149">B530</f>
        <v>529</v>
      </c>
      <c r="H531" s="7" t="s">
        <v>23</v>
      </c>
    </row>
    <row r="532" ht="18.75" customHeight="1">
      <c r="A532" s="134"/>
      <c r="B532" s="43">
        <f t="shared" si="2"/>
        <v>531</v>
      </c>
      <c r="C532" s="33" t="s">
        <v>559</v>
      </c>
      <c r="D532" s="110">
        <v>2.0</v>
      </c>
      <c r="E532" s="8">
        <f t="shared" si="148"/>
        <v>45807</v>
      </c>
      <c r="F532" s="8">
        <f t="shared" si="40"/>
        <v>45809</v>
      </c>
      <c r="G532" s="9">
        <f t="shared" si="149"/>
        <v>530</v>
      </c>
      <c r="H532" s="7" t="s">
        <v>23</v>
      </c>
    </row>
    <row r="533" ht="18.75" customHeight="1">
      <c r="A533" s="134"/>
      <c r="B533" s="43">
        <f t="shared" si="2"/>
        <v>532</v>
      </c>
      <c r="C533" s="33" t="s">
        <v>560</v>
      </c>
      <c r="D533" s="115">
        <v>1.0</v>
      </c>
      <c r="E533" s="8">
        <f t="shared" si="148"/>
        <v>45809</v>
      </c>
      <c r="F533" s="8">
        <f t="shared" si="40"/>
        <v>45810</v>
      </c>
      <c r="G533" s="9">
        <f t="shared" si="149"/>
        <v>531</v>
      </c>
      <c r="H533" s="7" t="s">
        <v>49</v>
      </c>
    </row>
    <row r="534" ht="18.75" customHeight="1">
      <c r="A534" s="198"/>
      <c r="B534" s="43">
        <f t="shared" si="2"/>
        <v>533</v>
      </c>
      <c r="C534" s="33" t="s">
        <v>561</v>
      </c>
      <c r="D534" s="101">
        <v>1.0</v>
      </c>
      <c r="E534" s="8">
        <f>E507</f>
        <v>45779</v>
      </c>
      <c r="F534" s="8">
        <f t="shared" si="40"/>
        <v>45780</v>
      </c>
      <c r="G534" s="9">
        <f>B442</f>
        <v>441</v>
      </c>
      <c r="H534" s="7" t="s">
        <v>10</v>
      </c>
    </row>
    <row r="535" ht="18.75" customHeight="1">
      <c r="A535" s="134"/>
      <c r="B535" s="43">
        <f t="shared" si="2"/>
        <v>534</v>
      </c>
      <c r="C535" s="33" t="s">
        <v>562</v>
      </c>
      <c r="D535" s="115">
        <v>2.0</v>
      </c>
      <c r="E535" s="8">
        <f t="shared" ref="E535:E538" si="150">F534</f>
        <v>45780</v>
      </c>
      <c r="F535" s="8">
        <f t="shared" si="40"/>
        <v>45782</v>
      </c>
      <c r="G535" s="9">
        <f t="shared" ref="G535:G538" si="151">B534</f>
        <v>533</v>
      </c>
      <c r="H535" s="7" t="s">
        <v>23</v>
      </c>
    </row>
    <row r="536" ht="18.75" customHeight="1">
      <c r="A536" s="134"/>
      <c r="B536" s="43">
        <f t="shared" si="2"/>
        <v>535</v>
      </c>
      <c r="C536" s="33" t="s">
        <v>563</v>
      </c>
      <c r="D536" s="115">
        <v>2.0</v>
      </c>
      <c r="E536" s="8">
        <f t="shared" si="150"/>
        <v>45782</v>
      </c>
      <c r="F536" s="8">
        <f t="shared" si="40"/>
        <v>45784</v>
      </c>
      <c r="G536" s="9">
        <f t="shared" si="151"/>
        <v>534</v>
      </c>
      <c r="H536" s="7" t="s">
        <v>23</v>
      </c>
    </row>
    <row r="537" ht="18.75" customHeight="1">
      <c r="A537" s="134"/>
      <c r="B537" s="43">
        <f t="shared" si="2"/>
        <v>536</v>
      </c>
      <c r="C537" s="33" t="s">
        <v>564</v>
      </c>
      <c r="D537" s="110">
        <v>4.0</v>
      </c>
      <c r="E537" s="8">
        <f t="shared" si="150"/>
        <v>45784</v>
      </c>
      <c r="F537" s="8">
        <f t="shared" si="40"/>
        <v>45788</v>
      </c>
      <c r="G537" s="9">
        <f t="shared" si="151"/>
        <v>535</v>
      </c>
      <c r="H537" s="7" t="s">
        <v>23</v>
      </c>
    </row>
    <row r="538" ht="18.75" customHeight="1">
      <c r="A538" s="134"/>
      <c r="B538" s="43">
        <f t="shared" si="2"/>
        <v>537</v>
      </c>
      <c r="C538" s="33" t="s">
        <v>565</v>
      </c>
      <c r="D538" s="108">
        <v>2.0</v>
      </c>
      <c r="E538" s="8">
        <f t="shared" si="150"/>
        <v>45788</v>
      </c>
      <c r="F538" s="8">
        <f t="shared" si="40"/>
        <v>45790</v>
      </c>
      <c r="G538" s="9">
        <f t="shared" si="151"/>
        <v>536</v>
      </c>
      <c r="H538" s="7" t="s">
        <v>49</v>
      </c>
    </row>
    <row r="539" ht="18.75" customHeight="1">
      <c r="A539" s="134"/>
      <c r="B539" s="43">
        <f t="shared" si="2"/>
        <v>538</v>
      </c>
      <c r="C539" s="33" t="s">
        <v>566</v>
      </c>
      <c r="D539" s="21">
        <v>1.0</v>
      </c>
      <c r="E539" s="8">
        <f>F515</f>
        <v>45805</v>
      </c>
      <c r="F539" s="8">
        <f t="shared" si="40"/>
        <v>45806</v>
      </c>
      <c r="G539" s="9">
        <f>B515</f>
        <v>514</v>
      </c>
      <c r="H539" s="7" t="s">
        <v>10</v>
      </c>
    </row>
    <row r="540" ht="18.75" customHeight="1">
      <c r="A540" s="134"/>
      <c r="B540" s="43">
        <f t="shared" si="2"/>
        <v>539</v>
      </c>
      <c r="C540" s="33" t="s">
        <v>567</v>
      </c>
      <c r="D540" s="115">
        <v>1.0</v>
      </c>
      <c r="E540" s="8">
        <f t="shared" ref="E540:E542" si="152">F539</f>
        <v>45806</v>
      </c>
      <c r="F540" s="8">
        <f t="shared" si="40"/>
        <v>45807</v>
      </c>
      <c r="G540" s="9">
        <f t="shared" ref="G540:G542" si="153">B539</f>
        <v>538</v>
      </c>
      <c r="H540" s="7" t="s">
        <v>23</v>
      </c>
    </row>
    <row r="541" ht="18.75" customHeight="1">
      <c r="A541" s="134"/>
      <c r="B541" s="43">
        <f t="shared" si="2"/>
        <v>540</v>
      </c>
      <c r="C541" s="33" t="s">
        <v>568</v>
      </c>
      <c r="D541" s="110">
        <v>2.0</v>
      </c>
      <c r="E541" s="8">
        <f t="shared" si="152"/>
        <v>45807</v>
      </c>
      <c r="F541" s="8">
        <f t="shared" si="40"/>
        <v>45809</v>
      </c>
      <c r="G541" s="9">
        <f t="shared" si="153"/>
        <v>539</v>
      </c>
      <c r="H541" s="7" t="s">
        <v>23</v>
      </c>
    </row>
    <row r="542" ht="18.75" customHeight="1">
      <c r="A542" s="134"/>
      <c r="B542" s="43">
        <f t="shared" si="2"/>
        <v>541</v>
      </c>
      <c r="C542" s="33" t="s">
        <v>569</v>
      </c>
      <c r="D542" s="115">
        <v>1.0</v>
      </c>
      <c r="E542" s="8">
        <f t="shared" si="152"/>
        <v>45809</v>
      </c>
      <c r="F542" s="8">
        <f t="shared" si="40"/>
        <v>45810</v>
      </c>
      <c r="G542" s="9">
        <f t="shared" si="153"/>
        <v>540</v>
      </c>
      <c r="H542" s="7" t="s">
        <v>49</v>
      </c>
    </row>
    <row r="543" ht="18.75" customHeight="1">
      <c r="A543" s="198"/>
      <c r="B543" s="43">
        <f t="shared" si="2"/>
        <v>542</v>
      </c>
      <c r="C543" s="33" t="s">
        <v>570</v>
      </c>
      <c r="D543" s="101">
        <v>1.0</v>
      </c>
      <c r="E543" s="8">
        <f>E516</f>
        <v>45779</v>
      </c>
      <c r="F543" s="8">
        <f t="shared" si="40"/>
        <v>45780</v>
      </c>
      <c r="G543" s="9">
        <f>B443</f>
        <v>442</v>
      </c>
      <c r="H543" s="7" t="s">
        <v>10</v>
      </c>
    </row>
    <row r="544" ht="18.75" customHeight="1">
      <c r="A544" s="134"/>
      <c r="B544" s="43">
        <f t="shared" si="2"/>
        <v>543</v>
      </c>
      <c r="C544" s="33" t="s">
        <v>571</v>
      </c>
      <c r="D544" s="115">
        <v>2.0</v>
      </c>
      <c r="E544" s="8">
        <f t="shared" ref="E544:E547" si="154">F543</f>
        <v>45780</v>
      </c>
      <c r="F544" s="8">
        <f t="shared" si="40"/>
        <v>45782</v>
      </c>
      <c r="G544" s="9">
        <f t="shared" ref="G544:G547" si="155">B543</f>
        <v>542</v>
      </c>
      <c r="H544" s="7" t="s">
        <v>23</v>
      </c>
    </row>
    <row r="545" ht="18.75" customHeight="1">
      <c r="A545" s="134"/>
      <c r="B545" s="43">
        <f t="shared" si="2"/>
        <v>544</v>
      </c>
      <c r="C545" s="33" t="s">
        <v>572</v>
      </c>
      <c r="D545" s="115">
        <v>2.0</v>
      </c>
      <c r="E545" s="8">
        <f t="shared" si="154"/>
        <v>45782</v>
      </c>
      <c r="F545" s="8">
        <f t="shared" si="40"/>
        <v>45784</v>
      </c>
      <c r="G545" s="9">
        <f t="shared" si="155"/>
        <v>543</v>
      </c>
      <c r="H545" s="7" t="s">
        <v>23</v>
      </c>
    </row>
    <row r="546" ht="18.75" customHeight="1">
      <c r="A546" s="134"/>
      <c r="B546" s="43">
        <f t="shared" si="2"/>
        <v>545</v>
      </c>
      <c r="C546" s="33" t="s">
        <v>573</v>
      </c>
      <c r="D546" s="110">
        <v>4.0</v>
      </c>
      <c r="E546" s="8">
        <f t="shared" si="154"/>
        <v>45784</v>
      </c>
      <c r="F546" s="8">
        <f t="shared" si="40"/>
        <v>45788</v>
      </c>
      <c r="G546" s="9">
        <f t="shared" si="155"/>
        <v>544</v>
      </c>
      <c r="H546" s="7" t="s">
        <v>23</v>
      </c>
    </row>
    <row r="547" ht="18.75" customHeight="1">
      <c r="A547" s="134"/>
      <c r="B547" s="43">
        <f t="shared" si="2"/>
        <v>546</v>
      </c>
      <c r="C547" s="33" t="s">
        <v>574</v>
      </c>
      <c r="D547" s="108">
        <v>2.0</v>
      </c>
      <c r="E547" s="8">
        <f t="shared" si="154"/>
        <v>45788</v>
      </c>
      <c r="F547" s="8">
        <f t="shared" si="40"/>
        <v>45790</v>
      </c>
      <c r="G547" s="9">
        <f t="shared" si="155"/>
        <v>545</v>
      </c>
      <c r="H547" s="7" t="s">
        <v>49</v>
      </c>
    </row>
    <row r="548" ht="18.75" customHeight="1">
      <c r="A548" s="134"/>
      <c r="B548" s="43">
        <f t="shared" si="2"/>
        <v>547</v>
      </c>
      <c r="C548" s="33" t="s">
        <v>575</v>
      </c>
      <c r="D548" s="21">
        <v>1.0</v>
      </c>
      <c r="E548" s="8">
        <f>F524</f>
        <v>45805</v>
      </c>
      <c r="F548" s="8">
        <f t="shared" si="40"/>
        <v>45806</v>
      </c>
      <c r="G548" s="9">
        <f>B524</f>
        <v>523</v>
      </c>
      <c r="H548" s="7" t="s">
        <v>10</v>
      </c>
    </row>
    <row r="549" ht="18.75" customHeight="1">
      <c r="A549" s="134"/>
      <c r="B549" s="43">
        <f t="shared" si="2"/>
        <v>548</v>
      </c>
      <c r="C549" s="33" t="s">
        <v>576</v>
      </c>
      <c r="D549" s="115">
        <v>1.0</v>
      </c>
      <c r="E549" s="8">
        <f t="shared" ref="E549:E551" si="156">F548</f>
        <v>45806</v>
      </c>
      <c r="F549" s="8">
        <f t="shared" si="40"/>
        <v>45807</v>
      </c>
      <c r="G549" s="9">
        <f t="shared" ref="G549:G551" si="157">B548</f>
        <v>547</v>
      </c>
      <c r="H549" s="7" t="s">
        <v>23</v>
      </c>
    </row>
    <row r="550" ht="18.75" customHeight="1">
      <c r="A550" s="134"/>
      <c r="B550" s="43">
        <f t="shared" si="2"/>
        <v>549</v>
      </c>
      <c r="C550" s="33" t="s">
        <v>577</v>
      </c>
      <c r="D550" s="110">
        <v>2.0</v>
      </c>
      <c r="E550" s="8">
        <f t="shared" si="156"/>
        <v>45807</v>
      </c>
      <c r="F550" s="8">
        <f t="shared" si="40"/>
        <v>45809</v>
      </c>
      <c r="G550" s="9">
        <f t="shared" si="157"/>
        <v>548</v>
      </c>
      <c r="H550" s="7" t="s">
        <v>23</v>
      </c>
    </row>
    <row r="551" ht="18.75" customHeight="1">
      <c r="A551" s="134"/>
      <c r="B551" s="43">
        <f t="shared" si="2"/>
        <v>550</v>
      </c>
      <c r="C551" s="33" t="s">
        <v>578</v>
      </c>
      <c r="D551" s="115">
        <v>1.0</v>
      </c>
      <c r="E551" s="8">
        <f t="shared" si="156"/>
        <v>45809</v>
      </c>
      <c r="F551" s="8">
        <f t="shared" si="40"/>
        <v>45810</v>
      </c>
      <c r="G551" s="9">
        <f t="shared" si="157"/>
        <v>549</v>
      </c>
      <c r="H551" s="7" t="s">
        <v>49</v>
      </c>
    </row>
    <row r="552" ht="18.75" customHeight="1">
      <c r="A552" s="92" t="s">
        <v>579</v>
      </c>
      <c r="B552" s="43">
        <f t="shared" si="2"/>
        <v>551</v>
      </c>
      <c r="C552" s="26" t="s">
        <v>580</v>
      </c>
      <c r="D552" s="101">
        <v>1.0</v>
      </c>
      <c r="E552" s="8">
        <f>E525</f>
        <v>45779</v>
      </c>
      <c r="F552" s="8">
        <f t="shared" si="40"/>
        <v>45780</v>
      </c>
      <c r="G552" s="9">
        <f>B441</f>
        <v>440</v>
      </c>
      <c r="H552" s="7" t="s">
        <v>10</v>
      </c>
    </row>
    <row r="553" ht="18.75" customHeight="1">
      <c r="A553" s="136"/>
      <c r="B553" s="43">
        <f t="shared" si="2"/>
        <v>552</v>
      </c>
      <c r="C553" s="26" t="s">
        <v>581</v>
      </c>
      <c r="D553" s="115">
        <v>2.0</v>
      </c>
      <c r="E553" s="8">
        <f t="shared" ref="E553:E556" si="158">F552</f>
        <v>45780</v>
      </c>
      <c r="F553" s="8">
        <f t="shared" si="40"/>
        <v>45782</v>
      </c>
      <c r="G553" s="9">
        <f t="shared" ref="G553:G556" si="159">B552</f>
        <v>551</v>
      </c>
      <c r="H553" s="7" t="s">
        <v>23</v>
      </c>
    </row>
    <row r="554" ht="18.75" customHeight="1">
      <c r="A554" s="136"/>
      <c r="B554" s="43">
        <f t="shared" si="2"/>
        <v>553</v>
      </c>
      <c r="C554" s="26" t="s">
        <v>582</v>
      </c>
      <c r="D554" s="115">
        <v>2.0</v>
      </c>
      <c r="E554" s="8">
        <f t="shared" si="158"/>
        <v>45782</v>
      </c>
      <c r="F554" s="8">
        <f t="shared" si="40"/>
        <v>45784</v>
      </c>
      <c r="G554" s="9">
        <f t="shared" si="159"/>
        <v>552</v>
      </c>
      <c r="H554" s="7" t="s">
        <v>23</v>
      </c>
    </row>
    <row r="555" ht="18.75" customHeight="1">
      <c r="A555" s="136"/>
      <c r="B555" s="43">
        <f t="shared" si="2"/>
        <v>554</v>
      </c>
      <c r="C555" s="26" t="s">
        <v>583</v>
      </c>
      <c r="D555" s="110">
        <v>4.0</v>
      </c>
      <c r="E555" s="8">
        <f t="shared" si="158"/>
        <v>45784</v>
      </c>
      <c r="F555" s="8">
        <f t="shared" si="40"/>
        <v>45788</v>
      </c>
      <c r="G555" s="9">
        <f t="shared" si="159"/>
        <v>553</v>
      </c>
      <c r="H555" s="7" t="s">
        <v>23</v>
      </c>
    </row>
    <row r="556" ht="18.75" customHeight="1">
      <c r="A556" s="136"/>
      <c r="B556" s="43">
        <f t="shared" si="2"/>
        <v>555</v>
      </c>
      <c r="C556" s="26" t="s">
        <v>584</v>
      </c>
      <c r="D556" s="108">
        <v>2.0</v>
      </c>
      <c r="E556" s="8">
        <f t="shared" si="158"/>
        <v>45788</v>
      </c>
      <c r="F556" s="8">
        <f t="shared" si="40"/>
        <v>45790</v>
      </c>
      <c r="G556" s="9">
        <f t="shared" si="159"/>
        <v>554</v>
      </c>
      <c r="H556" s="7" t="s">
        <v>49</v>
      </c>
    </row>
    <row r="557" ht="18.75" customHeight="1">
      <c r="A557" s="136"/>
      <c r="B557" s="43">
        <f t="shared" si="2"/>
        <v>556</v>
      </c>
      <c r="C557" s="26" t="s">
        <v>585</v>
      </c>
      <c r="D557" s="21">
        <v>1.0</v>
      </c>
      <c r="E557" s="8">
        <f>F533</f>
        <v>45810</v>
      </c>
      <c r="F557" s="8">
        <f t="shared" si="40"/>
        <v>45811</v>
      </c>
      <c r="G557" s="9">
        <f>B533</f>
        <v>532</v>
      </c>
      <c r="H557" s="7" t="s">
        <v>10</v>
      </c>
    </row>
    <row r="558" ht="18.75" customHeight="1">
      <c r="A558" s="136"/>
      <c r="B558" s="43">
        <f t="shared" si="2"/>
        <v>557</v>
      </c>
      <c r="C558" s="26" t="s">
        <v>586</v>
      </c>
      <c r="D558" s="115">
        <v>1.0</v>
      </c>
      <c r="E558" s="8">
        <f t="shared" ref="E558:E560" si="160">F557</f>
        <v>45811</v>
      </c>
      <c r="F558" s="8">
        <f t="shared" si="40"/>
        <v>45812</v>
      </c>
      <c r="G558" s="9">
        <f t="shared" ref="G558:G560" si="161">B557</f>
        <v>556</v>
      </c>
      <c r="H558" s="7" t="s">
        <v>23</v>
      </c>
    </row>
    <row r="559" ht="18.75" customHeight="1">
      <c r="A559" s="136"/>
      <c r="B559" s="43">
        <f t="shared" si="2"/>
        <v>558</v>
      </c>
      <c r="C559" s="26" t="s">
        <v>587</v>
      </c>
      <c r="D559" s="110">
        <v>2.0</v>
      </c>
      <c r="E559" s="8">
        <f t="shared" si="160"/>
        <v>45812</v>
      </c>
      <c r="F559" s="8">
        <f t="shared" si="40"/>
        <v>45814</v>
      </c>
      <c r="G559" s="9">
        <f t="shared" si="161"/>
        <v>557</v>
      </c>
      <c r="H559" s="7" t="s">
        <v>23</v>
      </c>
    </row>
    <row r="560" ht="18.75" customHeight="1">
      <c r="A560" s="136"/>
      <c r="B560" s="43">
        <f t="shared" si="2"/>
        <v>559</v>
      </c>
      <c r="C560" s="26" t="s">
        <v>588</v>
      </c>
      <c r="D560" s="115">
        <v>1.0</v>
      </c>
      <c r="E560" s="8">
        <f t="shared" si="160"/>
        <v>45814</v>
      </c>
      <c r="F560" s="8">
        <f t="shared" si="40"/>
        <v>45815</v>
      </c>
      <c r="G560" s="9">
        <f t="shared" si="161"/>
        <v>558</v>
      </c>
      <c r="H560" s="7" t="s">
        <v>49</v>
      </c>
    </row>
    <row r="561" ht="18.75" customHeight="1">
      <c r="A561" s="199"/>
      <c r="B561" s="43">
        <f t="shared" si="2"/>
        <v>560</v>
      </c>
      <c r="C561" s="26" t="s">
        <v>589</v>
      </c>
      <c r="D561" s="101">
        <v>1.0</v>
      </c>
      <c r="E561" s="8">
        <f>E534</f>
        <v>45779</v>
      </c>
      <c r="F561" s="8">
        <f t="shared" si="40"/>
        <v>45780</v>
      </c>
      <c r="G561" s="9">
        <f>B442</f>
        <v>441</v>
      </c>
      <c r="H561" s="7" t="s">
        <v>10</v>
      </c>
    </row>
    <row r="562" ht="18.75" customHeight="1">
      <c r="A562" s="136"/>
      <c r="B562" s="43">
        <f t="shared" si="2"/>
        <v>561</v>
      </c>
      <c r="C562" s="26" t="s">
        <v>590</v>
      </c>
      <c r="D562" s="115">
        <v>2.0</v>
      </c>
      <c r="E562" s="8">
        <f t="shared" ref="E562:E565" si="162">F561</f>
        <v>45780</v>
      </c>
      <c r="F562" s="8">
        <f t="shared" si="40"/>
        <v>45782</v>
      </c>
      <c r="G562" s="9">
        <f t="shared" ref="G562:G565" si="163">B561</f>
        <v>560</v>
      </c>
      <c r="H562" s="7" t="s">
        <v>23</v>
      </c>
    </row>
    <row r="563" ht="18.75" customHeight="1">
      <c r="A563" s="136"/>
      <c r="B563" s="43">
        <f t="shared" si="2"/>
        <v>562</v>
      </c>
      <c r="C563" s="26" t="s">
        <v>591</v>
      </c>
      <c r="D563" s="115">
        <v>2.0</v>
      </c>
      <c r="E563" s="8">
        <f t="shared" si="162"/>
        <v>45782</v>
      </c>
      <c r="F563" s="8">
        <f t="shared" si="40"/>
        <v>45784</v>
      </c>
      <c r="G563" s="9">
        <f t="shared" si="163"/>
        <v>561</v>
      </c>
      <c r="H563" s="7" t="s">
        <v>23</v>
      </c>
    </row>
    <row r="564" ht="18.75" customHeight="1">
      <c r="A564" s="136"/>
      <c r="B564" s="43">
        <f t="shared" si="2"/>
        <v>563</v>
      </c>
      <c r="C564" s="26" t="s">
        <v>592</v>
      </c>
      <c r="D564" s="110">
        <v>4.0</v>
      </c>
      <c r="E564" s="8">
        <f t="shared" si="162"/>
        <v>45784</v>
      </c>
      <c r="F564" s="8">
        <f t="shared" si="40"/>
        <v>45788</v>
      </c>
      <c r="G564" s="9">
        <f t="shared" si="163"/>
        <v>562</v>
      </c>
      <c r="H564" s="7" t="s">
        <v>23</v>
      </c>
    </row>
    <row r="565" ht="18.75" customHeight="1">
      <c r="A565" s="136"/>
      <c r="B565" s="43">
        <f t="shared" si="2"/>
        <v>564</v>
      </c>
      <c r="C565" s="26" t="s">
        <v>593</v>
      </c>
      <c r="D565" s="108">
        <v>2.0</v>
      </c>
      <c r="E565" s="8">
        <f t="shared" si="162"/>
        <v>45788</v>
      </c>
      <c r="F565" s="8">
        <f t="shared" si="40"/>
        <v>45790</v>
      </c>
      <c r="G565" s="9">
        <f t="shared" si="163"/>
        <v>563</v>
      </c>
      <c r="H565" s="7" t="s">
        <v>49</v>
      </c>
    </row>
    <row r="566" ht="18.75" customHeight="1">
      <c r="A566" s="136"/>
      <c r="B566" s="43">
        <f t="shared" si="2"/>
        <v>565</v>
      </c>
      <c r="C566" s="26" t="s">
        <v>594</v>
      </c>
      <c r="D566" s="21">
        <v>1.0</v>
      </c>
      <c r="E566" s="8">
        <f>F542</f>
        <v>45810</v>
      </c>
      <c r="F566" s="8">
        <f t="shared" si="40"/>
        <v>45811</v>
      </c>
      <c r="G566" s="9">
        <f>B542</f>
        <v>541</v>
      </c>
      <c r="H566" s="7" t="s">
        <v>10</v>
      </c>
    </row>
    <row r="567" ht="18.75" customHeight="1">
      <c r="A567" s="136"/>
      <c r="B567" s="43">
        <f t="shared" si="2"/>
        <v>566</v>
      </c>
      <c r="C567" s="26" t="s">
        <v>595</v>
      </c>
      <c r="D567" s="115">
        <v>1.0</v>
      </c>
      <c r="E567" s="8">
        <f t="shared" ref="E567:E569" si="164">F566</f>
        <v>45811</v>
      </c>
      <c r="F567" s="8">
        <f t="shared" si="40"/>
        <v>45812</v>
      </c>
      <c r="G567" s="9">
        <f t="shared" ref="G567:G569" si="165">B566</f>
        <v>565</v>
      </c>
      <c r="H567" s="7" t="s">
        <v>23</v>
      </c>
    </row>
    <row r="568" ht="18.75" customHeight="1">
      <c r="A568" s="136"/>
      <c r="B568" s="43">
        <f t="shared" si="2"/>
        <v>567</v>
      </c>
      <c r="C568" s="26" t="s">
        <v>596</v>
      </c>
      <c r="D568" s="110">
        <v>2.0</v>
      </c>
      <c r="E568" s="8">
        <f t="shared" si="164"/>
        <v>45812</v>
      </c>
      <c r="F568" s="8">
        <f t="shared" si="40"/>
        <v>45814</v>
      </c>
      <c r="G568" s="9">
        <f t="shared" si="165"/>
        <v>566</v>
      </c>
      <c r="H568" s="7" t="s">
        <v>23</v>
      </c>
    </row>
    <row r="569" ht="18.75" customHeight="1">
      <c r="A569" s="136"/>
      <c r="B569" s="43">
        <f t="shared" si="2"/>
        <v>568</v>
      </c>
      <c r="C569" s="26" t="s">
        <v>597</v>
      </c>
      <c r="D569" s="115">
        <v>1.0</v>
      </c>
      <c r="E569" s="8">
        <f t="shared" si="164"/>
        <v>45814</v>
      </c>
      <c r="F569" s="8">
        <f t="shared" si="40"/>
        <v>45815</v>
      </c>
      <c r="G569" s="9">
        <f t="shared" si="165"/>
        <v>567</v>
      </c>
      <c r="H569" s="7" t="s">
        <v>49</v>
      </c>
    </row>
    <row r="570" ht="18.75" customHeight="1">
      <c r="A570" s="199"/>
      <c r="B570" s="43">
        <f t="shared" si="2"/>
        <v>569</v>
      </c>
      <c r="C570" s="26" t="s">
        <v>598</v>
      </c>
      <c r="D570" s="101">
        <v>1.0</v>
      </c>
      <c r="E570" s="8">
        <f>E543</f>
        <v>45779</v>
      </c>
      <c r="F570" s="8">
        <f t="shared" si="40"/>
        <v>45780</v>
      </c>
      <c r="G570" s="9">
        <f>B443</f>
        <v>442</v>
      </c>
      <c r="H570" s="7" t="s">
        <v>10</v>
      </c>
    </row>
    <row r="571" ht="18.75" customHeight="1">
      <c r="A571" s="136"/>
      <c r="B571" s="43">
        <f t="shared" si="2"/>
        <v>570</v>
      </c>
      <c r="C571" s="26" t="s">
        <v>599</v>
      </c>
      <c r="D571" s="115">
        <v>2.0</v>
      </c>
      <c r="E571" s="8">
        <f t="shared" ref="E571:E574" si="166">F570</f>
        <v>45780</v>
      </c>
      <c r="F571" s="8">
        <f t="shared" si="40"/>
        <v>45782</v>
      </c>
      <c r="G571" s="9">
        <f t="shared" ref="G571:G574" si="167">B570</f>
        <v>569</v>
      </c>
      <c r="H571" s="7" t="s">
        <v>23</v>
      </c>
    </row>
    <row r="572" ht="18.75" customHeight="1">
      <c r="A572" s="136"/>
      <c r="B572" s="43">
        <f t="shared" si="2"/>
        <v>571</v>
      </c>
      <c r="C572" s="26" t="s">
        <v>600</v>
      </c>
      <c r="D572" s="115">
        <v>2.0</v>
      </c>
      <c r="E572" s="8">
        <f t="shared" si="166"/>
        <v>45782</v>
      </c>
      <c r="F572" s="8">
        <f t="shared" si="40"/>
        <v>45784</v>
      </c>
      <c r="G572" s="9">
        <f t="shared" si="167"/>
        <v>570</v>
      </c>
      <c r="H572" s="7" t="s">
        <v>23</v>
      </c>
    </row>
    <row r="573" ht="18.75" customHeight="1">
      <c r="A573" s="136"/>
      <c r="B573" s="43">
        <f t="shared" si="2"/>
        <v>572</v>
      </c>
      <c r="C573" s="26" t="s">
        <v>601</v>
      </c>
      <c r="D573" s="110">
        <v>4.0</v>
      </c>
      <c r="E573" s="8">
        <f t="shared" si="166"/>
        <v>45784</v>
      </c>
      <c r="F573" s="8">
        <f t="shared" si="40"/>
        <v>45788</v>
      </c>
      <c r="G573" s="9">
        <f t="shared" si="167"/>
        <v>571</v>
      </c>
      <c r="H573" s="7" t="s">
        <v>23</v>
      </c>
    </row>
    <row r="574" ht="18.75" customHeight="1">
      <c r="A574" s="136"/>
      <c r="B574" s="43">
        <f t="shared" si="2"/>
        <v>573</v>
      </c>
      <c r="C574" s="26" t="s">
        <v>602</v>
      </c>
      <c r="D574" s="108">
        <v>2.0</v>
      </c>
      <c r="E574" s="8">
        <f t="shared" si="166"/>
        <v>45788</v>
      </c>
      <c r="F574" s="8">
        <f t="shared" si="40"/>
        <v>45790</v>
      </c>
      <c r="G574" s="9">
        <f t="shared" si="167"/>
        <v>572</v>
      </c>
      <c r="H574" s="7" t="s">
        <v>49</v>
      </c>
    </row>
    <row r="575" ht="18.75" customHeight="1">
      <c r="A575" s="136"/>
      <c r="B575" s="43">
        <f t="shared" si="2"/>
        <v>574</v>
      </c>
      <c r="C575" s="26" t="s">
        <v>603</v>
      </c>
      <c r="D575" s="21">
        <v>1.0</v>
      </c>
      <c r="E575" s="8">
        <f>F551</f>
        <v>45810</v>
      </c>
      <c r="F575" s="8">
        <f t="shared" si="40"/>
        <v>45811</v>
      </c>
      <c r="G575" s="9">
        <f>B551</f>
        <v>550</v>
      </c>
      <c r="H575" s="7" t="s">
        <v>10</v>
      </c>
    </row>
    <row r="576" ht="18.75" customHeight="1">
      <c r="A576" s="136"/>
      <c r="B576" s="43">
        <f t="shared" si="2"/>
        <v>575</v>
      </c>
      <c r="C576" s="26" t="s">
        <v>604</v>
      </c>
      <c r="D576" s="115">
        <v>1.0</v>
      </c>
      <c r="E576" s="8">
        <f t="shared" ref="E576:E578" si="168">F575</f>
        <v>45811</v>
      </c>
      <c r="F576" s="8">
        <f t="shared" si="40"/>
        <v>45812</v>
      </c>
      <c r="G576" s="9">
        <f t="shared" ref="G576:G578" si="169">B575</f>
        <v>574</v>
      </c>
      <c r="H576" s="7" t="s">
        <v>23</v>
      </c>
    </row>
    <row r="577" ht="18.75" customHeight="1">
      <c r="A577" s="136"/>
      <c r="B577" s="43">
        <f t="shared" si="2"/>
        <v>576</v>
      </c>
      <c r="C577" s="26" t="s">
        <v>605</v>
      </c>
      <c r="D577" s="110">
        <v>2.0</v>
      </c>
      <c r="E577" s="8">
        <f t="shared" si="168"/>
        <v>45812</v>
      </c>
      <c r="F577" s="8">
        <f t="shared" si="40"/>
        <v>45814</v>
      </c>
      <c r="G577" s="9">
        <f t="shared" si="169"/>
        <v>575</v>
      </c>
      <c r="H577" s="7" t="s">
        <v>23</v>
      </c>
    </row>
    <row r="578" ht="18.75" customHeight="1">
      <c r="A578" s="136"/>
      <c r="B578" s="43">
        <f t="shared" si="2"/>
        <v>577</v>
      </c>
      <c r="C578" s="26" t="s">
        <v>606</v>
      </c>
      <c r="D578" s="115">
        <v>1.0</v>
      </c>
      <c r="E578" s="8">
        <f t="shared" si="168"/>
        <v>45814</v>
      </c>
      <c r="F578" s="8">
        <f t="shared" si="40"/>
        <v>45815</v>
      </c>
      <c r="G578" s="9">
        <f t="shared" si="169"/>
        <v>576</v>
      </c>
      <c r="H578" s="7" t="s">
        <v>49</v>
      </c>
    </row>
    <row r="579" ht="18.75" customHeight="1">
      <c r="A579" s="4" t="s">
        <v>607</v>
      </c>
      <c r="B579" s="43">
        <f t="shared" si="2"/>
        <v>578</v>
      </c>
      <c r="C579" s="14" t="s">
        <v>608</v>
      </c>
      <c r="D579" s="101">
        <v>1.0</v>
      </c>
      <c r="E579" s="8">
        <f>E552</f>
        <v>45779</v>
      </c>
      <c r="F579" s="8">
        <f t="shared" si="40"/>
        <v>45780</v>
      </c>
      <c r="G579" s="9">
        <f>B441</f>
        <v>440</v>
      </c>
      <c r="H579" s="7" t="s">
        <v>10</v>
      </c>
    </row>
    <row r="580" ht="18.75" customHeight="1">
      <c r="A580" s="200"/>
      <c r="B580" s="43">
        <f t="shared" si="2"/>
        <v>579</v>
      </c>
      <c r="C580" s="14" t="s">
        <v>609</v>
      </c>
      <c r="D580" s="115">
        <v>2.0</v>
      </c>
      <c r="E580" s="8">
        <f t="shared" ref="E580:E583" si="170">F579</f>
        <v>45780</v>
      </c>
      <c r="F580" s="8">
        <f t="shared" si="40"/>
        <v>45782</v>
      </c>
      <c r="G580" s="9">
        <f t="shared" ref="G580:G583" si="171">B579</f>
        <v>578</v>
      </c>
      <c r="H580" s="7" t="s">
        <v>23</v>
      </c>
    </row>
    <row r="581" ht="18.75" customHeight="1">
      <c r="A581" s="200"/>
      <c r="B581" s="43">
        <f t="shared" si="2"/>
        <v>580</v>
      </c>
      <c r="C581" s="14" t="s">
        <v>610</v>
      </c>
      <c r="D581" s="115">
        <v>2.0</v>
      </c>
      <c r="E581" s="8">
        <f t="shared" si="170"/>
        <v>45782</v>
      </c>
      <c r="F581" s="8">
        <f t="shared" si="40"/>
        <v>45784</v>
      </c>
      <c r="G581" s="9">
        <f t="shared" si="171"/>
        <v>579</v>
      </c>
      <c r="H581" s="7" t="s">
        <v>23</v>
      </c>
    </row>
    <row r="582" ht="18.75" customHeight="1">
      <c r="A582" s="200"/>
      <c r="B582" s="43">
        <f t="shared" si="2"/>
        <v>581</v>
      </c>
      <c r="C582" s="14" t="s">
        <v>611</v>
      </c>
      <c r="D582" s="110">
        <v>4.0</v>
      </c>
      <c r="E582" s="8">
        <f t="shared" si="170"/>
        <v>45784</v>
      </c>
      <c r="F582" s="8">
        <f t="shared" si="40"/>
        <v>45788</v>
      </c>
      <c r="G582" s="9">
        <f t="shared" si="171"/>
        <v>580</v>
      </c>
      <c r="H582" s="7" t="s">
        <v>23</v>
      </c>
    </row>
    <row r="583" ht="18.75" customHeight="1">
      <c r="A583" s="200"/>
      <c r="B583" s="43">
        <f t="shared" si="2"/>
        <v>582</v>
      </c>
      <c r="C583" s="14" t="s">
        <v>612</v>
      </c>
      <c r="D583" s="108">
        <v>2.0</v>
      </c>
      <c r="E583" s="8">
        <f t="shared" si="170"/>
        <v>45788</v>
      </c>
      <c r="F583" s="8">
        <f t="shared" si="40"/>
        <v>45790</v>
      </c>
      <c r="G583" s="9">
        <f t="shared" si="171"/>
        <v>581</v>
      </c>
      <c r="H583" s="7" t="s">
        <v>49</v>
      </c>
    </row>
    <row r="584" ht="18.75" customHeight="1">
      <c r="A584" s="200"/>
      <c r="B584" s="43">
        <f t="shared" si="2"/>
        <v>583</v>
      </c>
      <c r="C584" s="14" t="s">
        <v>613</v>
      </c>
      <c r="D584" s="21">
        <v>1.0</v>
      </c>
      <c r="E584" s="8">
        <f>F560</f>
        <v>45815</v>
      </c>
      <c r="F584" s="8">
        <f t="shared" si="40"/>
        <v>45816</v>
      </c>
      <c r="G584" s="9">
        <f>B560</f>
        <v>559</v>
      </c>
      <c r="H584" s="7" t="s">
        <v>10</v>
      </c>
    </row>
    <row r="585" ht="18.75" customHeight="1">
      <c r="A585" s="200"/>
      <c r="B585" s="43">
        <f t="shared" si="2"/>
        <v>584</v>
      </c>
      <c r="C585" s="14" t="s">
        <v>614</v>
      </c>
      <c r="D585" s="115">
        <v>1.0</v>
      </c>
      <c r="E585" s="8">
        <f t="shared" ref="E585:E587" si="172">F584</f>
        <v>45816</v>
      </c>
      <c r="F585" s="8">
        <f t="shared" si="40"/>
        <v>45817</v>
      </c>
      <c r="G585" s="9">
        <f t="shared" ref="G585:G587" si="173">B584</f>
        <v>583</v>
      </c>
      <c r="H585" s="7" t="s">
        <v>23</v>
      </c>
    </row>
    <row r="586" ht="18.75" customHeight="1">
      <c r="A586" s="200"/>
      <c r="B586" s="43">
        <f t="shared" si="2"/>
        <v>585</v>
      </c>
      <c r="C586" s="14" t="s">
        <v>615</v>
      </c>
      <c r="D586" s="110">
        <v>2.0</v>
      </c>
      <c r="E586" s="8">
        <f t="shared" si="172"/>
        <v>45817</v>
      </c>
      <c r="F586" s="8">
        <f t="shared" si="40"/>
        <v>45819</v>
      </c>
      <c r="G586" s="9">
        <f t="shared" si="173"/>
        <v>584</v>
      </c>
      <c r="H586" s="7" t="s">
        <v>23</v>
      </c>
    </row>
    <row r="587" ht="18.75" customHeight="1">
      <c r="A587" s="200"/>
      <c r="B587" s="43">
        <f t="shared" si="2"/>
        <v>586</v>
      </c>
      <c r="C587" s="14" t="s">
        <v>616</v>
      </c>
      <c r="D587" s="115">
        <v>1.0</v>
      </c>
      <c r="E587" s="8">
        <f t="shared" si="172"/>
        <v>45819</v>
      </c>
      <c r="F587" s="8">
        <f t="shared" si="40"/>
        <v>45820</v>
      </c>
      <c r="G587" s="9">
        <f t="shared" si="173"/>
        <v>585</v>
      </c>
      <c r="H587" s="7" t="s">
        <v>49</v>
      </c>
    </row>
    <row r="588" ht="18.75" customHeight="1">
      <c r="A588" s="201"/>
      <c r="B588" s="43">
        <f t="shared" si="2"/>
        <v>587</v>
      </c>
      <c r="C588" s="14" t="s">
        <v>617</v>
      </c>
      <c r="D588" s="101">
        <v>1.0</v>
      </c>
      <c r="E588" s="8">
        <f>E561</f>
        <v>45779</v>
      </c>
      <c r="F588" s="8">
        <f t="shared" si="40"/>
        <v>45780</v>
      </c>
      <c r="G588" s="9">
        <f>B442</f>
        <v>441</v>
      </c>
      <c r="H588" s="7" t="s">
        <v>10</v>
      </c>
    </row>
    <row r="589" ht="18.75" customHeight="1">
      <c r="A589" s="200"/>
      <c r="B589" s="43">
        <f t="shared" si="2"/>
        <v>588</v>
      </c>
      <c r="C589" s="14" t="s">
        <v>618</v>
      </c>
      <c r="D589" s="115">
        <v>2.0</v>
      </c>
      <c r="E589" s="8">
        <f t="shared" ref="E589:E592" si="174">F588</f>
        <v>45780</v>
      </c>
      <c r="F589" s="8">
        <f t="shared" si="40"/>
        <v>45782</v>
      </c>
      <c r="G589" s="9">
        <f t="shared" ref="G589:G592" si="175">B588</f>
        <v>587</v>
      </c>
      <c r="H589" s="7" t="s">
        <v>23</v>
      </c>
    </row>
    <row r="590" ht="18.75" customHeight="1">
      <c r="A590" s="200"/>
      <c r="B590" s="43">
        <f t="shared" si="2"/>
        <v>589</v>
      </c>
      <c r="C590" s="14" t="s">
        <v>619</v>
      </c>
      <c r="D590" s="115">
        <v>2.0</v>
      </c>
      <c r="E590" s="8">
        <f t="shared" si="174"/>
        <v>45782</v>
      </c>
      <c r="F590" s="8">
        <f t="shared" si="40"/>
        <v>45784</v>
      </c>
      <c r="G590" s="9">
        <f t="shared" si="175"/>
        <v>588</v>
      </c>
      <c r="H590" s="7" t="s">
        <v>23</v>
      </c>
    </row>
    <row r="591" ht="18.75" customHeight="1">
      <c r="A591" s="200"/>
      <c r="B591" s="43">
        <f t="shared" si="2"/>
        <v>590</v>
      </c>
      <c r="C591" s="14" t="s">
        <v>620</v>
      </c>
      <c r="D591" s="110">
        <v>4.0</v>
      </c>
      <c r="E591" s="8">
        <f t="shared" si="174"/>
        <v>45784</v>
      </c>
      <c r="F591" s="8">
        <f t="shared" si="40"/>
        <v>45788</v>
      </c>
      <c r="G591" s="9">
        <f t="shared" si="175"/>
        <v>589</v>
      </c>
      <c r="H591" s="7" t="s">
        <v>23</v>
      </c>
    </row>
    <row r="592" ht="18.75" customHeight="1">
      <c r="A592" s="200"/>
      <c r="B592" s="43">
        <f t="shared" si="2"/>
        <v>591</v>
      </c>
      <c r="C592" s="14" t="s">
        <v>621</v>
      </c>
      <c r="D592" s="108">
        <v>2.0</v>
      </c>
      <c r="E592" s="8">
        <f t="shared" si="174"/>
        <v>45788</v>
      </c>
      <c r="F592" s="8">
        <f t="shared" si="40"/>
        <v>45790</v>
      </c>
      <c r="G592" s="9">
        <f t="shared" si="175"/>
        <v>590</v>
      </c>
      <c r="H592" s="7" t="s">
        <v>49</v>
      </c>
    </row>
    <row r="593" ht="18.75" customHeight="1">
      <c r="A593" s="200"/>
      <c r="B593" s="43">
        <f t="shared" si="2"/>
        <v>592</v>
      </c>
      <c r="C593" s="14" t="s">
        <v>622</v>
      </c>
      <c r="D593" s="21">
        <v>1.0</v>
      </c>
      <c r="E593" s="8">
        <f>F569</f>
        <v>45815</v>
      </c>
      <c r="F593" s="8">
        <f t="shared" si="40"/>
        <v>45816</v>
      </c>
      <c r="G593" s="9">
        <f>B569</f>
        <v>568</v>
      </c>
      <c r="H593" s="7" t="s">
        <v>10</v>
      </c>
    </row>
    <row r="594" ht="18.75" customHeight="1">
      <c r="A594" s="200"/>
      <c r="B594" s="43">
        <f t="shared" si="2"/>
        <v>593</v>
      </c>
      <c r="C594" s="14" t="s">
        <v>623</v>
      </c>
      <c r="D594" s="115">
        <v>1.0</v>
      </c>
      <c r="E594" s="8">
        <f t="shared" ref="E594:E596" si="176">F593</f>
        <v>45816</v>
      </c>
      <c r="F594" s="8">
        <f t="shared" si="40"/>
        <v>45817</v>
      </c>
      <c r="G594" s="9">
        <f t="shared" ref="G594:G596" si="177">B593</f>
        <v>592</v>
      </c>
      <c r="H594" s="7" t="s">
        <v>23</v>
      </c>
    </row>
    <row r="595" ht="18.75" customHeight="1">
      <c r="A595" s="200"/>
      <c r="B595" s="43">
        <f t="shared" si="2"/>
        <v>594</v>
      </c>
      <c r="C595" s="14" t="s">
        <v>624</v>
      </c>
      <c r="D595" s="110">
        <v>2.0</v>
      </c>
      <c r="E595" s="8">
        <f t="shared" si="176"/>
        <v>45817</v>
      </c>
      <c r="F595" s="8">
        <f t="shared" si="40"/>
        <v>45819</v>
      </c>
      <c r="G595" s="9">
        <f t="shared" si="177"/>
        <v>593</v>
      </c>
      <c r="H595" s="7" t="s">
        <v>23</v>
      </c>
    </row>
    <row r="596" ht="18.75" customHeight="1">
      <c r="A596" s="200"/>
      <c r="B596" s="43">
        <f t="shared" si="2"/>
        <v>595</v>
      </c>
      <c r="C596" s="14" t="s">
        <v>625</v>
      </c>
      <c r="D596" s="115">
        <v>1.0</v>
      </c>
      <c r="E596" s="8">
        <f t="shared" si="176"/>
        <v>45819</v>
      </c>
      <c r="F596" s="8">
        <f t="shared" si="40"/>
        <v>45820</v>
      </c>
      <c r="G596" s="9">
        <f t="shared" si="177"/>
        <v>594</v>
      </c>
      <c r="H596" s="7" t="s">
        <v>49</v>
      </c>
    </row>
    <row r="597" ht="18.75" customHeight="1">
      <c r="A597" s="201"/>
      <c r="B597" s="43">
        <f t="shared" si="2"/>
        <v>596</v>
      </c>
      <c r="C597" s="14" t="s">
        <v>626</v>
      </c>
      <c r="D597" s="101">
        <v>1.0</v>
      </c>
      <c r="E597" s="8">
        <f>E570</f>
        <v>45779</v>
      </c>
      <c r="F597" s="8">
        <f t="shared" si="40"/>
        <v>45780</v>
      </c>
      <c r="G597" s="9">
        <f>B443</f>
        <v>442</v>
      </c>
      <c r="H597" s="7" t="s">
        <v>10</v>
      </c>
    </row>
    <row r="598" ht="18.75" customHeight="1">
      <c r="A598" s="200"/>
      <c r="B598" s="43">
        <f t="shared" si="2"/>
        <v>597</v>
      </c>
      <c r="C598" s="14" t="s">
        <v>627</v>
      </c>
      <c r="D598" s="115">
        <v>2.0</v>
      </c>
      <c r="E598" s="8">
        <f t="shared" ref="E598:E601" si="178">F597</f>
        <v>45780</v>
      </c>
      <c r="F598" s="8">
        <f t="shared" si="40"/>
        <v>45782</v>
      </c>
      <c r="G598" s="9">
        <f t="shared" ref="G598:G601" si="179">B597</f>
        <v>596</v>
      </c>
      <c r="H598" s="7" t="s">
        <v>23</v>
      </c>
    </row>
    <row r="599" ht="18.75" customHeight="1">
      <c r="A599" s="200"/>
      <c r="B599" s="43">
        <f t="shared" si="2"/>
        <v>598</v>
      </c>
      <c r="C599" s="14" t="s">
        <v>628</v>
      </c>
      <c r="D599" s="115">
        <v>2.0</v>
      </c>
      <c r="E599" s="8">
        <f t="shared" si="178"/>
        <v>45782</v>
      </c>
      <c r="F599" s="8">
        <f t="shared" si="40"/>
        <v>45784</v>
      </c>
      <c r="G599" s="9">
        <f t="shared" si="179"/>
        <v>597</v>
      </c>
      <c r="H599" s="7" t="s">
        <v>23</v>
      </c>
    </row>
    <row r="600" ht="18.75" customHeight="1">
      <c r="A600" s="200"/>
      <c r="B600" s="43">
        <f t="shared" si="2"/>
        <v>599</v>
      </c>
      <c r="C600" s="14" t="s">
        <v>629</v>
      </c>
      <c r="D600" s="110">
        <v>4.0</v>
      </c>
      <c r="E600" s="8">
        <f t="shared" si="178"/>
        <v>45784</v>
      </c>
      <c r="F600" s="8">
        <f t="shared" si="40"/>
        <v>45788</v>
      </c>
      <c r="G600" s="9">
        <f t="shared" si="179"/>
        <v>598</v>
      </c>
      <c r="H600" s="7" t="s">
        <v>23</v>
      </c>
    </row>
    <row r="601" ht="18.75" customHeight="1">
      <c r="A601" s="200"/>
      <c r="B601" s="43">
        <f t="shared" si="2"/>
        <v>600</v>
      </c>
      <c r="C601" s="14" t="s">
        <v>630</v>
      </c>
      <c r="D601" s="108">
        <v>2.0</v>
      </c>
      <c r="E601" s="8">
        <f t="shared" si="178"/>
        <v>45788</v>
      </c>
      <c r="F601" s="8">
        <f t="shared" si="40"/>
        <v>45790</v>
      </c>
      <c r="G601" s="9">
        <f t="shared" si="179"/>
        <v>599</v>
      </c>
      <c r="H601" s="7" t="s">
        <v>49</v>
      </c>
    </row>
    <row r="602" ht="18.75" customHeight="1">
      <c r="A602" s="200"/>
      <c r="B602" s="43">
        <f t="shared" si="2"/>
        <v>601</v>
      </c>
      <c r="C602" s="14" t="s">
        <v>631</v>
      </c>
      <c r="D602" s="21">
        <v>1.0</v>
      </c>
      <c r="E602" s="8">
        <f>F578</f>
        <v>45815</v>
      </c>
      <c r="F602" s="8">
        <f t="shared" si="40"/>
        <v>45816</v>
      </c>
      <c r="G602" s="9">
        <f>B578</f>
        <v>577</v>
      </c>
      <c r="H602" s="7" t="s">
        <v>10</v>
      </c>
    </row>
    <row r="603" ht="18.75" customHeight="1">
      <c r="A603" s="200"/>
      <c r="B603" s="43">
        <f t="shared" si="2"/>
        <v>602</v>
      </c>
      <c r="C603" s="14" t="s">
        <v>632</v>
      </c>
      <c r="D603" s="115">
        <v>1.0</v>
      </c>
      <c r="E603" s="8">
        <f t="shared" ref="E603:E605" si="180">F602</f>
        <v>45816</v>
      </c>
      <c r="F603" s="8">
        <f t="shared" si="40"/>
        <v>45817</v>
      </c>
      <c r="G603" s="9">
        <f t="shared" ref="G603:G605" si="181">B602</f>
        <v>601</v>
      </c>
      <c r="H603" s="7" t="s">
        <v>23</v>
      </c>
    </row>
    <row r="604" ht="18.75" customHeight="1">
      <c r="A604" s="200"/>
      <c r="B604" s="43">
        <f t="shared" si="2"/>
        <v>603</v>
      </c>
      <c r="C604" s="14" t="s">
        <v>633</v>
      </c>
      <c r="D604" s="110">
        <v>2.0</v>
      </c>
      <c r="E604" s="8">
        <f t="shared" si="180"/>
        <v>45817</v>
      </c>
      <c r="F604" s="8">
        <f t="shared" si="40"/>
        <v>45819</v>
      </c>
      <c r="G604" s="9">
        <f t="shared" si="181"/>
        <v>602</v>
      </c>
      <c r="H604" s="7" t="s">
        <v>23</v>
      </c>
    </row>
    <row r="605" ht="18.75" customHeight="1">
      <c r="A605" s="200"/>
      <c r="B605" s="43">
        <f t="shared" si="2"/>
        <v>604</v>
      </c>
      <c r="C605" s="14" t="s">
        <v>634</v>
      </c>
      <c r="D605" s="115">
        <v>1.0</v>
      </c>
      <c r="E605" s="8">
        <f t="shared" si="180"/>
        <v>45819</v>
      </c>
      <c r="F605" s="8">
        <f t="shared" si="40"/>
        <v>45820</v>
      </c>
      <c r="G605" s="9">
        <f t="shared" si="181"/>
        <v>603</v>
      </c>
      <c r="H605" s="7" t="s">
        <v>49</v>
      </c>
    </row>
    <row r="606" ht="18.75" customHeight="1">
      <c r="A606" s="92" t="s">
        <v>635</v>
      </c>
      <c r="B606" s="43">
        <f t="shared" si="2"/>
        <v>605</v>
      </c>
      <c r="C606" s="26" t="s">
        <v>636</v>
      </c>
      <c r="D606" s="21">
        <v>1.0</v>
      </c>
      <c r="E606" s="8">
        <f>F488</f>
        <v>45800</v>
      </c>
      <c r="F606" s="8">
        <f t="shared" si="40"/>
        <v>45801</v>
      </c>
      <c r="G606" s="9">
        <f>B488</f>
        <v>487</v>
      </c>
      <c r="H606" s="7" t="s">
        <v>10</v>
      </c>
    </row>
    <row r="607" ht="18.75" customHeight="1">
      <c r="A607" s="69" t="s">
        <v>637</v>
      </c>
      <c r="B607" s="43">
        <f t="shared" si="2"/>
        <v>606</v>
      </c>
      <c r="C607" s="26" t="s">
        <v>638</v>
      </c>
      <c r="D607" s="115">
        <v>1.0</v>
      </c>
      <c r="E607" s="8">
        <f t="shared" ref="E607:E613" si="182">F606</f>
        <v>45801</v>
      </c>
      <c r="F607" s="8">
        <f t="shared" si="40"/>
        <v>45802</v>
      </c>
      <c r="G607" s="9">
        <f t="shared" ref="G607:G609" si="183">B606</f>
        <v>605</v>
      </c>
      <c r="H607" s="7" t="s">
        <v>23</v>
      </c>
    </row>
    <row r="608" ht="18.75" customHeight="1">
      <c r="A608" s="202"/>
      <c r="B608" s="43">
        <f t="shared" si="2"/>
        <v>607</v>
      </c>
      <c r="C608" s="26" t="s">
        <v>639</v>
      </c>
      <c r="D608" s="110">
        <v>2.0</v>
      </c>
      <c r="E608" s="8">
        <f t="shared" si="182"/>
        <v>45802</v>
      </c>
      <c r="F608" s="8">
        <f t="shared" si="40"/>
        <v>45804</v>
      </c>
      <c r="G608" s="9">
        <f t="shared" si="183"/>
        <v>606</v>
      </c>
      <c r="H608" s="7" t="s">
        <v>23</v>
      </c>
    </row>
    <row r="609" ht="18.75" customHeight="1">
      <c r="A609" s="69"/>
      <c r="B609" s="43">
        <f t="shared" si="2"/>
        <v>608</v>
      </c>
      <c r="C609" s="26" t="s">
        <v>640</v>
      </c>
      <c r="D609" s="115">
        <v>2.0</v>
      </c>
      <c r="E609" s="8">
        <f t="shared" si="182"/>
        <v>45804</v>
      </c>
      <c r="F609" s="8">
        <f t="shared" si="40"/>
        <v>45806</v>
      </c>
      <c r="G609" s="9">
        <f t="shared" si="183"/>
        <v>607</v>
      </c>
      <c r="H609" s="7" t="s">
        <v>49</v>
      </c>
    </row>
    <row r="610" ht="18.75" customHeight="1">
      <c r="A610" s="69"/>
      <c r="B610" s="43">
        <f t="shared" si="2"/>
        <v>609</v>
      </c>
      <c r="C610" s="26" t="s">
        <v>641</v>
      </c>
      <c r="D610" s="21">
        <v>1.0</v>
      </c>
      <c r="E610" s="8">
        <f t="shared" si="182"/>
        <v>45806</v>
      </c>
      <c r="F610" s="8">
        <f t="shared" si="40"/>
        <v>45807</v>
      </c>
      <c r="G610" s="9" t="str">
        <f>B479&amp; "-" &amp;B497&amp; "-" &amp;B609</f>
        <v>478-496-608</v>
      </c>
      <c r="H610" s="7" t="s">
        <v>10</v>
      </c>
    </row>
    <row r="611" ht="18.75" customHeight="1">
      <c r="A611" s="69"/>
      <c r="B611" s="43">
        <f t="shared" si="2"/>
        <v>610</v>
      </c>
      <c r="C611" s="26" t="s">
        <v>642</v>
      </c>
      <c r="D611" s="115">
        <v>1.0</v>
      </c>
      <c r="E611" s="8">
        <f t="shared" si="182"/>
        <v>45807</v>
      </c>
      <c r="F611" s="8">
        <f t="shared" si="40"/>
        <v>45808</v>
      </c>
      <c r="G611" s="9">
        <f t="shared" ref="G611:G613" si="184">B610</f>
        <v>609</v>
      </c>
      <c r="H611" s="7" t="s">
        <v>23</v>
      </c>
    </row>
    <row r="612" ht="18.75" customHeight="1">
      <c r="A612" s="136"/>
      <c r="B612" s="43">
        <f t="shared" si="2"/>
        <v>611</v>
      </c>
      <c r="C612" s="26" t="s">
        <v>643</v>
      </c>
      <c r="D612" s="110">
        <v>2.0</v>
      </c>
      <c r="E612" s="8">
        <f t="shared" si="182"/>
        <v>45808</v>
      </c>
      <c r="F612" s="8">
        <f t="shared" si="40"/>
        <v>45810</v>
      </c>
      <c r="G612" s="9">
        <f t="shared" si="184"/>
        <v>610</v>
      </c>
      <c r="H612" s="7" t="s">
        <v>23</v>
      </c>
    </row>
    <row r="613" ht="18.75" customHeight="1">
      <c r="A613" s="136"/>
      <c r="B613" s="43">
        <f t="shared" si="2"/>
        <v>612</v>
      </c>
      <c r="C613" s="26" t="s">
        <v>644</v>
      </c>
      <c r="D613" s="115">
        <v>2.0</v>
      </c>
      <c r="E613" s="8">
        <f t="shared" si="182"/>
        <v>45810</v>
      </c>
      <c r="F613" s="8">
        <f t="shared" si="40"/>
        <v>45812</v>
      </c>
      <c r="G613" s="9">
        <f t="shared" si="184"/>
        <v>611</v>
      </c>
      <c r="H613" s="7" t="s">
        <v>49</v>
      </c>
    </row>
    <row r="614" ht="18.75" customHeight="1">
      <c r="A614" s="136"/>
      <c r="B614" s="43">
        <f t="shared" si="2"/>
        <v>613</v>
      </c>
      <c r="C614" s="26" t="s">
        <v>645</v>
      </c>
      <c r="D614" s="21">
        <v>1.0</v>
      </c>
      <c r="E614" s="8">
        <f>F515</f>
        <v>45805</v>
      </c>
      <c r="F614" s="8">
        <f t="shared" si="40"/>
        <v>45806</v>
      </c>
      <c r="G614" s="9">
        <f>B515</f>
        <v>514</v>
      </c>
      <c r="H614" s="7" t="s">
        <v>10</v>
      </c>
    </row>
    <row r="615" ht="18.75" customHeight="1">
      <c r="A615" s="136"/>
      <c r="B615" s="43">
        <f t="shared" si="2"/>
        <v>614</v>
      </c>
      <c r="C615" s="26" t="s">
        <v>646</v>
      </c>
      <c r="D615" s="115">
        <v>1.0</v>
      </c>
      <c r="E615" s="8">
        <f t="shared" ref="E615:E621" si="185">F614</f>
        <v>45806</v>
      </c>
      <c r="F615" s="8">
        <f t="shared" si="40"/>
        <v>45807</v>
      </c>
      <c r="G615" s="9">
        <f t="shared" ref="G615:G617" si="186">B614</f>
        <v>613</v>
      </c>
      <c r="H615" s="7" t="s">
        <v>23</v>
      </c>
    </row>
    <row r="616" ht="18.75" customHeight="1">
      <c r="A616" s="136"/>
      <c r="B616" s="43">
        <f t="shared" si="2"/>
        <v>615</v>
      </c>
      <c r="C616" s="26" t="s">
        <v>647</v>
      </c>
      <c r="D616" s="110">
        <v>2.0</v>
      </c>
      <c r="E616" s="8">
        <f t="shared" si="185"/>
        <v>45807</v>
      </c>
      <c r="F616" s="8">
        <f t="shared" si="40"/>
        <v>45809</v>
      </c>
      <c r="G616" s="9">
        <f t="shared" si="186"/>
        <v>614</v>
      </c>
      <c r="H616" s="7" t="s">
        <v>23</v>
      </c>
    </row>
    <row r="617" ht="18.75" customHeight="1">
      <c r="A617" s="136"/>
      <c r="B617" s="43">
        <f t="shared" si="2"/>
        <v>616</v>
      </c>
      <c r="C617" s="26" t="s">
        <v>648</v>
      </c>
      <c r="D617" s="115">
        <v>2.0</v>
      </c>
      <c r="E617" s="8">
        <f t="shared" si="185"/>
        <v>45809</v>
      </c>
      <c r="F617" s="8">
        <f t="shared" si="40"/>
        <v>45811</v>
      </c>
      <c r="G617" s="9">
        <f t="shared" si="186"/>
        <v>615</v>
      </c>
      <c r="H617" s="7" t="s">
        <v>49</v>
      </c>
    </row>
    <row r="618" ht="18.75" customHeight="1">
      <c r="A618" s="136"/>
      <c r="B618" s="43">
        <f t="shared" si="2"/>
        <v>617</v>
      </c>
      <c r="C618" s="26" t="s">
        <v>649</v>
      </c>
      <c r="D618" s="21">
        <v>1.0</v>
      </c>
      <c r="E618" s="8">
        <f t="shared" si="185"/>
        <v>45811</v>
      </c>
      <c r="F618" s="8">
        <f t="shared" si="40"/>
        <v>45812</v>
      </c>
      <c r="G618" s="9" t="str">
        <f>B506&amp; "-" &amp;B524&amp; "-" &amp;B617</f>
        <v>505-523-616</v>
      </c>
      <c r="H618" s="7" t="s">
        <v>10</v>
      </c>
    </row>
    <row r="619" ht="18.75" customHeight="1">
      <c r="A619" s="136"/>
      <c r="B619" s="43">
        <f t="shared" si="2"/>
        <v>618</v>
      </c>
      <c r="C619" s="26" t="s">
        <v>650</v>
      </c>
      <c r="D619" s="115">
        <v>1.0</v>
      </c>
      <c r="E619" s="8">
        <f t="shared" si="185"/>
        <v>45812</v>
      </c>
      <c r="F619" s="8">
        <f t="shared" si="40"/>
        <v>45813</v>
      </c>
      <c r="G619" s="9">
        <f t="shared" ref="G619:G621" si="187">B618</f>
        <v>617</v>
      </c>
      <c r="H619" s="7" t="s">
        <v>23</v>
      </c>
    </row>
    <row r="620" ht="18.75" customHeight="1">
      <c r="A620" s="136"/>
      <c r="B620" s="43">
        <f t="shared" si="2"/>
        <v>619</v>
      </c>
      <c r="C620" s="26" t="s">
        <v>651</v>
      </c>
      <c r="D620" s="110">
        <v>2.0</v>
      </c>
      <c r="E620" s="8">
        <f t="shared" si="185"/>
        <v>45813</v>
      </c>
      <c r="F620" s="8">
        <f t="shared" si="40"/>
        <v>45815</v>
      </c>
      <c r="G620" s="9">
        <f t="shared" si="187"/>
        <v>618</v>
      </c>
      <c r="H620" s="7" t="s">
        <v>23</v>
      </c>
    </row>
    <row r="621" ht="18.75" customHeight="1">
      <c r="A621" s="136"/>
      <c r="B621" s="43">
        <f t="shared" si="2"/>
        <v>620</v>
      </c>
      <c r="C621" s="26" t="s">
        <v>652</v>
      </c>
      <c r="D621" s="115">
        <v>2.0</v>
      </c>
      <c r="E621" s="8">
        <f t="shared" si="185"/>
        <v>45815</v>
      </c>
      <c r="F621" s="8">
        <f t="shared" si="40"/>
        <v>45817</v>
      </c>
      <c r="G621" s="9">
        <f t="shared" si="187"/>
        <v>619</v>
      </c>
      <c r="H621" s="7" t="s">
        <v>49</v>
      </c>
    </row>
    <row r="622" ht="18.75" customHeight="1">
      <c r="A622" s="136"/>
      <c r="B622" s="43">
        <f t="shared" si="2"/>
        <v>621</v>
      </c>
      <c r="C622" s="26" t="s">
        <v>653</v>
      </c>
      <c r="D622" s="21">
        <v>1.0</v>
      </c>
      <c r="E622" s="8">
        <f>F542</f>
        <v>45810</v>
      </c>
      <c r="F622" s="8">
        <f t="shared" si="40"/>
        <v>45811</v>
      </c>
      <c r="G622" s="9">
        <f>B542</f>
        <v>541</v>
      </c>
      <c r="H622" s="7" t="s">
        <v>10</v>
      </c>
    </row>
    <row r="623" ht="18.75" customHeight="1">
      <c r="A623" s="136"/>
      <c r="B623" s="43">
        <f t="shared" si="2"/>
        <v>622</v>
      </c>
      <c r="C623" s="26" t="s">
        <v>654</v>
      </c>
      <c r="D623" s="115">
        <v>1.0</v>
      </c>
      <c r="E623" s="8">
        <f t="shared" ref="E623:E637" si="188">F622</f>
        <v>45811</v>
      </c>
      <c r="F623" s="8">
        <f t="shared" si="40"/>
        <v>45812</v>
      </c>
      <c r="G623" s="9">
        <f t="shared" ref="G623:G625" si="189">B622</f>
        <v>621</v>
      </c>
      <c r="H623" s="7" t="s">
        <v>23</v>
      </c>
    </row>
    <row r="624" ht="18.75" customHeight="1">
      <c r="A624" s="136"/>
      <c r="B624" s="43">
        <f t="shared" si="2"/>
        <v>623</v>
      </c>
      <c r="C624" s="26" t="s">
        <v>655</v>
      </c>
      <c r="D624" s="110">
        <v>2.0</v>
      </c>
      <c r="E624" s="8">
        <f t="shared" si="188"/>
        <v>45812</v>
      </c>
      <c r="F624" s="8">
        <f t="shared" si="40"/>
        <v>45814</v>
      </c>
      <c r="G624" s="9">
        <f t="shared" si="189"/>
        <v>622</v>
      </c>
      <c r="H624" s="7" t="s">
        <v>23</v>
      </c>
    </row>
    <row r="625" ht="18.75" customHeight="1">
      <c r="A625" s="136"/>
      <c r="B625" s="43">
        <f t="shared" si="2"/>
        <v>624</v>
      </c>
      <c r="C625" s="26" t="s">
        <v>656</v>
      </c>
      <c r="D625" s="115">
        <v>2.0</v>
      </c>
      <c r="E625" s="8">
        <f t="shared" si="188"/>
        <v>45814</v>
      </c>
      <c r="F625" s="8">
        <f t="shared" si="40"/>
        <v>45816</v>
      </c>
      <c r="G625" s="9">
        <f t="shared" si="189"/>
        <v>623</v>
      </c>
      <c r="H625" s="7" t="s">
        <v>49</v>
      </c>
    </row>
    <row r="626" ht="18.75" customHeight="1">
      <c r="A626" s="136"/>
      <c r="B626" s="43">
        <f t="shared" si="2"/>
        <v>625</v>
      </c>
      <c r="C626" s="26" t="s">
        <v>657</v>
      </c>
      <c r="D626" s="21">
        <v>1.0</v>
      </c>
      <c r="E626" s="8">
        <f t="shared" si="188"/>
        <v>45816</v>
      </c>
      <c r="F626" s="8">
        <f t="shared" si="40"/>
        <v>45817</v>
      </c>
      <c r="G626" s="9" t="str">
        <f>B533&amp; "-" &amp;B551&amp; "-" &amp;B625</f>
        <v>532-550-624</v>
      </c>
      <c r="H626" s="7" t="s">
        <v>10</v>
      </c>
    </row>
    <row r="627" ht="18.75" customHeight="1">
      <c r="A627" s="136"/>
      <c r="B627" s="43">
        <f t="shared" si="2"/>
        <v>626</v>
      </c>
      <c r="C627" s="26" t="s">
        <v>658</v>
      </c>
      <c r="D627" s="115">
        <v>1.0</v>
      </c>
      <c r="E627" s="8">
        <f t="shared" si="188"/>
        <v>45817</v>
      </c>
      <c r="F627" s="8">
        <f t="shared" si="40"/>
        <v>45818</v>
      </c>
      <c r="G627" s="9">
        <f t="shared" ref="G627:G637" si="190">B626</f>
        <v>625</v>
      </c>
      <c r="H627" s="7" t="s">
        <v>23</v>
      </c>
    </row>
    <row r="628" ht="18.75" customHeight="1">
      <c r="A628" s="136"/>
      <c r="B628" s="43">
        <f t="shared" si="2"/>
        <v>627</v>
      </c>
      <c r="C628" s="26" t="s">
        <v>659</v>
      </c>
      <c r="D628" s="110">
        <v>2.0</v>
      </c>
      <c r="E628" s="8">
        <f t="shared" si="188"/>
        <v>45818</v>
      </c>
      <c r="F628" s="8">
        <f t="shared" si="40"/>
        <v>45820</v>
      </c>
      <c r="G628" s="9">
        <f t="shared" si="190"/>
        <v>626</v>
      </c>
      <c r="H628" s="7" t="s">
        <v>23</v>
      </c>
    </row>
    <row r="629" ht="18.75" customHeight="1">
      <c r="A629" s="136"/>
      <c r="B629" s="43">
        <f t="shared" si="2"/>
        <v>628</v>
      </c>
      <c r="C629" s="26" t="s">
        <v>660</v>
      </c>
      <c r="D629" s="115">
        <v>2.0</v>
      </c>
      <c r="E629" s="8">
        <f t="shared" si="188"/>
        <v>45820</v>
      </c>
      <c r="F629" s="8">
        <f t="shared" si="40"/>
        <v>45822</v>
      </c>
      <c r="G629" s="9">
        <f t="shared" si="190"/>
        <v>627</v>
      </c>
      <c r="H629" s="7" t="s">
        <v>49</v>
      </c>
    </row>
    <row r="630" ht="18.75" customHeight="1">
      <c r="A630" s="136"/>
      <c r="B630" s="43">
        <f t="shared" si="2"/>
        <v>629</v>
      </c>
      <c r="C630" s="26" t="s">
        <v>661</v>
      </c>
      <c r="D630" s="21">
        <v>1.0</v>
      </c>
      <c r="E630" s="8">
        <f t="shared" si="188"/>
        <v>45822</v>
      </c>
      <c r="F630" s="8">
        <f t="shared" si="40"/>
        <v>45823</v>
      </c>
      <c r="G630" s="9">
        <f t="shared" si="190"/>
        <v>628</v>
      </c>
      <c r="H630" s="7" t="s">
        <v>10</v>
      </c>
    </row>
    <row r="631" ht="18.75" customHeight="1">
      <c r="A631" s="136"/>
      <c r="B631" s="43">
        <f t="shared" si="2"/>
        <v>630</v>
      </c>
      <c r="C631" s="26" t="s">
        <v>662</v>
      </c>
      <c r="D631" s="115">
        <v>1.0</v>
      </c>
      <c r="E631" s="8">
        <f t="shared" si="188"/>
        <v>45823</v>
      </c>
      <c r="F631" s="8">
        <f t="shared" si="40"/>
        <v>45824</v>
      </c>
      <c r="G631" s="9">
        <f t="shared" si="190"/>
        <v>629</v>
      </c>
      <c r="H631" s="7" t="s">
        <v>23</v>
      </c>
    </row>
    <row r="632" ht="18.75" customHeight="1">
      <c r="A632" s="136"/>
      <c r="B632" s="43">
        <f t="shared" si="2"/>
        <v>631</v>
      </c>
      <c r="C632" s="26" t="s">
        <v>663</v>
      </c>
      <c r="D632" s="110">
        <v>2.0</v>
      </c>
      <c r="E632" s="8">
        <f t="shared" si="188"/>
        <v>45824</v>
      </c>
      <c r="F632" s="8">
        <f t="shared" si="40"/>
        <v>45826</v>
      </c>
      <c r="G632" s="9">
        <f t="shared" si="190"/>
        <v>630</v>
      </c>
      <c r="H632" s="7" t="s">
        <v>23</v>
      </c>
    </row>
    <row r="633" ht="18.75" customHeight="1">
      <c r="A633" s="136"/>
      <c r="B633" s="43">
        <f t="shared" si="2"/>
        <v>632</v>
      </c>
      <c r="C633" s="26" t="s">
        <v>664</v>
      </c>
      <c r="D633" s="115">
        <v>2.0</v>
      </c>
      <c r="E633" s="8">
        <f t="shared" si="188"/>
        <v>45826</v>
      </c>
      <c r="F633" s="8">
        <f t="shared" si="40"/>
        <v>45828</v>
      </c>
      <c r="G633" s="9">
        <f t="shared" si="190"/>
        <v>631</v>
      </c>
      <c r="H633" s="7" t="s">
        <v>49</v>
      </c>
    </row>
    <row r="634" ht="18.75" customHeight="1">
      <c r="A634" s="136"/>
      <c r="B634" s="43">
        <f t="shared" si="2"/>
        <v>633</v>
      </c>
      <c r="C634" s="26" t="s">
        <v>665</v>
      </c>
      <c r="D634" s="21">
        <v>1.0</v>
      </c>
      <c r="E634" s="8">
        <f t="shared" si="188"/>
        <v>45828</v>
      </c>
      <c r="F634" s="8">
        <f t="shared" si="40"/>
        <v>45829</v>
      </c>
      <c r="G634" s="9">
        <f t="shared" si="190"/>
        <v>632</v>
      </c>
      <c r="H634" s="7" t="s">
        <v>10</v>
      </c>
    </row>
    <row r="635" ht="18.75" customHeight="1">
      <c r="A635" s="136"/>
      <c r="B635" s="43">
        <f t="shared" si="2"/>
        <v>634</v>
      </c>
      <c r="C635" s="26" t="s">
        <v>666</v>
      </c>
      <c r="D635" s="115">
        <v>1.0</v>
      </c>
      <c r="E635" s="8">
        <f t="shared" si="188"/>
        <v>45829</v>
      </c>
      <c r="F635" s="8">
        <f t="shared" si="40"/>
        <v>45830</v>
      </c>
      <c r="G635" s="9">
        <f t="shared" si="190"/>
        <v>633</v>
      </c>
      <c r="H635" s="7" t="s">
        <v>23</v>
      </c>
    </row>
    <row r="636" ht="18.75" customHeight="1">
      <c r="A636" s="136"/>
      <c r="B636" s="43">
        <f t="shared" si="2"/>
        <v>635</v>
      </c>
      <c r="C636" s="26" t="s">
        <v>667</v>
      </c>
      <c r="D636" s="110">
        <v>2.0</v>
      </c>
      <c r="E636" s="8">
        <f t="shared" si="188"/>
        <v>45830</v>
      </c>
      <c r="F636" s="8">
        <f t="shared" si="40"/>
        <v>45832</v>
      </c>
      <c r="G636" s="9">
        <f t="shared" si="190"/>
        <v>634</v>
      </c>
      <c r="H636" s="7" t="s">
        <v>23</v>
      </c>
    </row>
    <row r="637" ht="18.75" customHeight="1">
      <c r="A637" s="203"/>
      <c r="B637" s="43">
        <f t="shared" si="2"/>
        <v>636</v>
      </c>
      <c r="C637" s="26" t="s">
        <v>668</v>
      </c>
      <c r="D637" s="115">
        <v>2.0</v>
      </c>
      <c r="E637" s="8">
        <f t="shared" si="188"/>
        <v>45832</v>
      </c>
      <c r="F637" s="8">
        <f t="shared" si="40"/>
        <v>45834</v>
      </c>
      <c r="G637" s="9">
        <f t="shared" si="190"/>
        <v>635</v>
      </c>
      <c r="H637" s="7" t="s">
        <v>49</v>
      </c>
    </row>
    <row r="638" ht="18.75" customHeight="1">
      <c r="A638" s="97" t="s">
        <v>635</v>
      </c>
      <c r="B638" s="5">
        <f t="shared" si="2"/>
        <v>637</v>
      </c>
      <c r="C638" s="80" t="s">
        <v>669</v>
      </c>
      <c r="D638" s="21">
        <v>1.0</v>
      </c>
      <c r="E638" s="8">
        <f>F569</f>
        <v>45815</v>
      </c>
      <c r="F638" s="8">
        <f t="shared" si="40"/>
        <v>45816</v>
      </c>
      <c r="G638" s="9">
        <f>B569</f>
        <v>568</v>
      </c>
      <c r="H638" s="7" t="s">
        <v>10</v>
      </c>
    </row>
    <row r="639" ht="18.75" customHeight="1">
      <c r="A639" s="41" t="s">
        <v>670</v>
      </c>
      <c r="B639" s="5">
        <f t="shared" si="2"/>
        <v>638</v>
      </c>
      <c r="C639" s="80" t="s">
        <v>671</v>
      </c>
      <c r="D639" s="115">
        <v>1.0</v>
      </c>
      <c r="E639" s="8">
        <f t="shared" ref="E639:E669" si="191">F638</f>
        <v>45816</v>
      </c>
      <c r="F639" s="8">
        <f t="shared" si="40"/>
        <v>45817</v>
      </c>
      <c r="G639" s="9">
        <f t="shared" ref="G639:G641" si="192">B638</f>
        <v>637</v>
      </c>
      <c r="H639" s="7" t="s">
        <v>23</v>
      </c>
    </row>
    <row r="640" ht="18.75" customHeight="1">
      <c r="A640" s="41"/>
      <c r="B640" s="5">
        <f t="shared" si="2"/>
        <v>639</v>
      </c>
      <c r="C640" s="80" t="s">
        <v>672</v>
      </c>
      <c r="D640" s="110">
        <v>2.0</v>
      </c>
      <c r="E640" s="8">
        <f t="shared" si="191"/>
        <v>45817</v>
      </c>
      <c r="F640" s="8">
        <f t="shared" si="40"/>
        <v>45819</v>
      </c>
      <c r="G640" s="9">
        <f t="shared" si="192"/>
        <v>638</v>
      </c>
      <c r="H640" s="7" t="s">
        <v>23</v>
      </c>
    </row>
    <row r="641" ht="18.75" customHeight="1">
      <c r="A641" s="41"/>
      <c r="B641" s="5">
        <f t="shared" si="2"/>
        <v>640</v>
      </c>
      <c r="C641" s="80" t="s">
        <v>673</v>
      </c>
      <c r="D641" s="115">
        <v>2.0</v>
      </c>
      <c r="E641" s="8">
        <f t="shared" si="191"/>
        <v>45819</v>
      </c>
      <c r="F641" s="8">
        <f t="shared" si="40"/>
        <v>45821</v>
      </c>
      <c r="G641" s="9">
        <f t="shared" si="192"/>
        <v>639</v>
      </c>
      <c r="H641" s="7" t="s">
        <v>49</v>
      </c>
    </row>
    <row r="642" ht="18.75" customHeight="1">
      <c r="A642" s="41"/>
      <c r="B642" s="5">
        <f t="shared" si="2"/>
        <v>641</v>
      </c>
      <c r="C642" s="80" t="s">
        <v>674</v>
      </c>
      <c r="D642" s="21">
        <v>1.0</v>
      </c>
      <c r="E642" s="8">
        <f t="shared" si="191"/>
        <v>45821</v>
      </c>
      <c r="F642" s="8">
        <f t="shared" si="40"/>
        <v>45822</v>
      </c>
      <c r="G642" s="9" t="str">
        <f>B560&amp; "-" &amp;B578&amp; "-" &amp;B641</f>
        <v>559-577-640</v>
      </c>
      <c r="H642" s="7" t="s">
        <v>10</v>
      </c>
    </row>
    <row r="643" ht="18.75" customHeight="1">
      <c r="A643" s="41"/>
      <c r="B643" s="5">
        <f t="shared" si="2"/>
        <v>642</v>
      </c>
      <c r="C643" s="80" t="s">
        <v>675</v>
      </c>
      <c r="D643" s="115">
        <v>1.0</v>
      </c>
      <c r="E643" s="8">
        <f t="shared" si="191"/>
        <v>45822</v>
      </c>
      <c r="F643" s="8">
        <f t="shared" si="40"/>
        <v>45823</v>
      </c>
      <c r="G643" s="9">
        <f t="shared" ref="G643:G669" si="193">B642</f>
        <v>641</v>
      </c>
      <c r="H643" s="7" t="s">
        <v>23</v>
      </c>
    </row>
    <row r="644" ht="18.75" customHeight="1">
      <c r="A644" s="179"/>
      <c r="B644" s="43">
        <f t="shared" si="2"/>
        <v>643</v>
      </c>
      <c r="C644" s="80" t="s">
        <v>676</v>
      </c>
      <c r="D644" s="110">
        <v>2.0</v>
      </c>
      <c r="E644" s="8">
        <f t="shared" si="191"/>
        <v>45823</v>
      </c>
      <c r="F644" s="8">
        <f t="shared" si="40"/>
        <v>45825</v>
      </c>
      <c r="G644" s="9">
        <f t="shared" si="193"/>
        <v>642</v>
      </c>
      <c r="H644" s="7" t="s">
        <v>23</v>
      </c>
    </row>
    <row r="645" ht="18.75" customHeight="1">
      <c r="A645" s="195"/>
      <c r="B645" s="43">
        <f t="shared" si="2"/>
        <v>644</v>
      </c>
      <c r="C645" s="80" t="s">
        <v>677</v>
      </c>
      <c r="D645" s="115">
        <v>2.0</v>
      </c>
      <c r="E645" s="8">
        <f t="shared" si="191"/>
        <v>45825</v>
      </c>
      <c r="F645" s="8">
        <f t="shared" si="40"/>
        <v>45827</v>
      </c>
      <c r="G645" s="9">
        <f t="shared" si="193"/>
        <v>643</v>
      </c>
      <c r="H645" s="7" t="s">
        <v>49</v>
      </c>
    </row>
    <row r="646" ht="18.75" customHeight="1">
      <c r="A646" s="195"/>
      <c r="B646" s="43">
        <f t="shared" si="2"/>
        <v>645</v>
      </c>
      <c r="C646" s="80" t="s">
        <v>678</v>
      </c>
      <c r="D646" s="21">
        <v>1.0</v>
      </c>
      <c r="E646" s="8">
        <f t="shared" si="191"/>
        <v>45827</v>
      </c>
      <c r="F646" s="8">
        <f t="shared" si="40"/>
        <v>45828</v>
      </c>
      <c r="G646" s="9">
        <f t="shared" si="193"/>
        <v>644</v>
      </c>
      <c r="H646" s="7" t="s">
        <v>10</v>
      </c>
    </row>
    <row r="647" ht="18.75" customHeight="1">
      <c r="A647" s="195"/>
      <c r="B647" s="43">
        <f t="shared" si="2"/>
        <v>646</v>
      </c>
      <c r="C647" s="80" t="s">
        <v>679</v>
      </c>
      <c r="D647" s="115">
        <v>1.0</v>
      </c>
      <c r="E647" s="8">
        <f t="shared" si="191"/>
        <v>45828</v>
      </c>
      <c r="F647" s="8">
        <f t="shared" si="40"/>
        <v>45829</v>
      </c>
      <c r="G647" s="9">
        <f t="shared" si="193"/>
        <v>645</v>
      </c>
      <c r="H647" s="7" t="s">
        <v>23</v>
      </c>
    </row>
    <row r="648" ht="18.75" customHeight="1">
      <c r="A648" s="195"/>
      <c r="B648" s="43">
        <f t="shared" si="2"/>
        <v>647</v>
      </c>
      <c r="C648" s="80" t="s">
        <v>680</v>
      </c>
      <c r="D648" s="110">
        <v>2.0</v>
      </c>
      <c r="E648" s="8">
        <f t="shared" si="191"/>
        <v>45829</v>
      </c>
      <c r="F648" s="8">
        <f t="shared" si="40"/>
        <v>45831</v>
      </c>
      <c r="G648" s="9">
        <f t="shared" si="193"/>
        <v>646</v>
      </c>
      <c r="H648" s="7" t="s">
        <v>23</v>
      </c>
    </row>
    <row r="649" ht="18.75" customHeight="1">
      <c r="A649" s="195"/>
      <c r="B649" s="43">
        <f t="shared" si="2"/>
        <v>648</v>
      </c>
      <c r="C649" s="80" t="s">
        <v>681</v>
      </c>
      <c r="D649" s="115">
        <v>2.0</v>
      </c>
      <c r="E649" s="8">
        <f t="shared" si="191"/>
        <v>45831</v>
      </c>
      <c r="F649" s="8">
        <f t="shared" si="40"/>
        <v>45833</v>
      </c>
      <c r="G649" s="9">
        <f t="shared" si="193"/>
        <v>647</v>
      </c>
      <c r="H649" s="7" t="s">
        <v>49</v>
      </c>
    </row>
    <row r="650" ht="18.75" customHeight="1">
      <c r="A650" s="195"/>
      <c r="B650" s="43">
        <f t="shared" si="2"/>
        <v>649</v>
      </c>
      <c r="C650" s="80" t="s">
        <v>682</v>
      </c>
      <c r="D650" s="21">
        <v>1.0</v>
      </c>
      <c r="E650" s="8">
        <f t="shared" si="191"/>
        <v>45833</v>
      </c>
      <c r="F650" s="8">
        <f t="shared" si="40"/>
        <v>45834</v>
      </c>
      <c r="G650" s="9">
        <f t="shared" si="193"/>
        <v>648</v>
      </c>
      <c r="H650" s="7" t="s">
        <v>10</v>
      </c>
    </row>
    <row r="651" ht="18.75" customHeight="1">
      <c r="A651" s="195"/>
      <c r="B651" s="43">
        <f t="shared" si="2"/>
        <v>650</v>
      </c>
      <c r="C651" s="80" t="s">
        <v>683</v>
      </c>
      <c r="D651" s="115">
        <v>1.0</v>
      </c>
      <c r="E651" s="8">
        <f t="shared" si="191"/>
        <v>45834</v>
      </c>
      <c r="F651" s="8">
        <f t="shared" si="40"/>
        <v>45835</v>
      </c>
      <c r="G651" s="9">
        <f t="shared" si="193"/>
        <v>649</v>
      </c>
      <c r="H651" s="7" t="s">
        <v>23</v>
      </c>
    </row>
    <row r="652" ht="18.75" customHeight="1">
      <c r="A652" s="195"/>
      <c r="B652" s="43">
        <f t="shared" si="2"/>
        <v>651</v>
      </c>
      <c r="C652" s="80" t="s">
        <v>684</v>
      </c>
      <c r="D652" s="110">
        <v>2.0</v>
      </c>
      <c r="E652" s="8">
        <f t="shared" si="191"/>
        <v>45835</v>
      </c>
      <c r="F652" s="8">
        <f t="shared" si="40"/>
        <v>45837</v>
      </c>
      <c r="G652" s="9">
        <f t="shared" si="193"/>
        <v>650</v>
      </c>
      <c r="H652" s="7" t="s">
        <v>23</v>
      </c>
    </row>
    <row r="653" ht="18.75" customHeight="1">
      <c r="A653" s="195"/>
      <c r="B653" s="43">
        <f t="shared" si="2"/>
        <v>652</v>
      </c>
      <c r="C653" s="80" t="s">
        <v>685</v>
      </c>
      <c r="D653" s="115">
        <v>2.0</v>
      </c>
      <c r="E653" s="8">
        <f t="shared" si="191"/>
        <v>45837</v>
      </c>
      <c r="F653" s="8">
        <f t="shared" si="40"/>
        <v>45839</v>
      </c>
      <c r="G653" s="9">
        <f t="shared" si="193"/>
        <v>651</v>
      </c>
      <c r="H653" s="7" t="s">
        <v>49</v>
      </c>
    </row>
    <row r="654" ht="18.75" customHeight="1">
      <c r="A654" s="195"/>
      <c r="B654" s="43">
        <f t="shared" si="2"/>
        <v>653</v>
      </c>
      <c r="C654" s="80" t="s">
        <v>686</v>
      </c>
      <c r="D654" s="21">
        <v>1.0</v>
      </c>
      <c r="E654" s="8">
        <f t="shared" si="191"/>
        <v>45839</v>
      </c>
      <c r="F654" s="8">
        <f t="shared" si="40"/>
        <v>45840</v>
      </c>
      <c r="G654" s="9">
        <f t="shared" si="193"/>
        <v>652</v>
      </c>
      <c r="H654" s="7" t="s">
        <v>10</v>
      </c>
    </row>
    <row r="655" ht="18.75" customHeight="1">
      <c r="A655" s="195"/>
      <c r="B655" s="43">
        <f t="shared" si="2"/>
        <v>654</v>
      </c>
      <c r="C655" s="80" t="s">
        <v>687</v>
      </c>
      <c r="D655" s="115">
        <v>1.0</v>
      </c>
      <c r="E655" s="8">
        <f t="shared" si="191"/>
        <v>45840</v>
      </c>
      <c r="F655" s="8">
        <f t="shared" si="40"/>
        <v>45841</v>
      </c>
      <c r="G655" s="9">
        <f t="shared" si="193"/>
        <v>653</v>
      </c>
      <c r="H655" s="7" t="s">
        <v>23</v>
      </c>
    </row>
    <row r="656" ht="18.75" customHeight="1">
      <c r="A656" s="195"/>
      <c r="B656" s="43">
        <f t="shared" si="2"/>
        <v>655</v>
      </c>
      <c r="C656" s="80" t="s">
        <v>688</v>
      </c>
      <c r="D656" s="110">
        <v>2.0</v>
      </c>
      <c r="E656" s="8">
        <f t="shared" si="191"/>
        <v>45841</v>
      </c>
      <c r="F656" s="8">
        <f t="shared" si="40"/>
        <v>45843</v>
      </c>
      <c r="G656" s="9">
        <f t="shared" si="193"/>
        <v>654</v>
      </c>
      <c r="H656" s="7" t="s">
        <v>23</v>
      </c>
    </row>
    <row r="657" ht="18.75" customHeight="1">
      <c r="A657" s="195"/>
      <c r="B657" s="43">
        <f t="shared" si="2"/>
        <v>656</v>
      </c>
      <c r="C657" s="80" t="s">
        <v>689</v>
      </c>
      <c r="D657" s="115">
        <v>2.0</v>
      </c>
      <c r="E657" s="8">
        <f t="shared" si="191"/>
        <v>45843</v>
      </c>
      <c r="F657" s="8">
        <f t="shared" si="40"/>
        <v>45845</v>
      </c>
      <c r="G657" s="9">
        <f t="shared" si="193"/>
        <v>655</v>
      </c>
      <c r="H657" s="7" t="s">
        <v>49</v>
      </c>
    </row>
    <row r="658" ht="18.75" customHeight="1">
      <c r="A658" s="195"/>
      <c r="B658" s="43">
        <f t="shared" si="2"/>
        <v>657</v>
      </c>
      <c r="C658" s="80" t="s">
        <v>690</v>
      </c>
      <c r="D658" s="21">
        <v>1.0</v>
      </c>
      <c r="E658" s="8">
        <f t="shared" si="191"/>
        <v>45845</v>
      </c>
      <c r="F658" s="8">
        <f t="shared" si="40"/>
        <v>45846</v>
      </c>
      <c r="G658" s="9">
        <f t="shared" si="193"/>
        <v>656</v>
      </c>
      <c r="H658" s="7" t="s">
        <v>10</v>
      </c>
    </row>
    <row r="659" ht="18.75" customHeight="1">
      <c r="A659" s="195"/>
      <c r="B659" s="43">
        <f t="shared" si="2"/>
        <v>658</v>
      </c>
      <c r="C659" s="80" t="s">
        <v>691</v>
      </c>
      <c r="D659" s="115">
        <v>1.0</v>
      </c>
      <c r="E659" s="8">
        <f t="shared" si="191"/>
        <v>45846</v>
      </c>
      <c r="F659" s="8">
        <f t="shared" si="40"/>
        <v>45847</v>
      </c>
      <c r="G659" s="9">
        <f t="shared" si="193"/>
        <v>657</v>
      </c>
      <c r="H659" s="7" t="s">
        <v>23</v>
      </c>
    </row>
    <row r="660" ht="18.75" customHeight="1">
      <c r="A660" s="195"/>
      <c r="B660" s="43">
        <f t="shared" si="2"/>
        <v>659</v>
      </c>
      <c r="C660" s="80" t="s">
        <v>692</v>
      </c>
      <c r="D660" s="110">
        <v>2.0</v>
      </c>
      <c r="E660" s="8">
        <f t="shared" si="191"/>
        <v>45847</v>
      </c>
      <c r="F660" s="8">
        <f t="shared" si="40"/>
        <v>45849</v>
      </c>
      <c r="G660" s="9">
        <f t="shared" si="193"/>
        <v>658</v>
      </c>
      <c r="H660" s="7" t="s">
        <v>23</v>
      </c>
    </row>
    <row r="661" ht="18.75" customHeight="1">
      <c r="A661" s="195"/>
      <c r="B661" s="43">
        <f t="shared" si="2"/>
        <v>660</v>
      </c>
      <c r="C661" s="80" t="s">
        <v>693</v>
      </c>
      <c r="D661" s="115">
        <v>2.0</v>
      </c>
      <c r="E661" s="8">
        <f t="shared" si="191"/>
        <v>45849</v>
      </c>
      <c r="F661" s="8">
        <f t="shared" si="40"/>
        <v>45851</v>
      </c>
      <c r="G661" s="9">
        <f t="shared" si="193"/>
        <v>659</v>
      </c>
      <c r="H661" s="7" t="s">
        <v>49</v>
      </c>
    </row>
    <row r="662" ht="18.75" customHeight="1">
      <c r="A662" s="195"/>
      <c r="B662" s="43">
        <f t="shared" si="2"/>
        <v>661</v>
      </c>
      <c r="C662" s="80" t="s">
        <v>694</v>
      </c>
      <c r="D662" s="21">
        <v>1.0</v>
      </c>
      <c r="E662" s="8">
        <f t="shared" si="191"/>
        <v>45851</v>
      </c>
      <c r="F662" s="8">
        <f t="shared" si="40"/>
        <v>45852</v>
      </c>
      <c r="G662" s="9">
        <f t="shared" si="193"/>
        <v>660</v>
      </c>
      <c r="H662" s="7" t="s">
        <v>10</v>
      </c>
    </row>
    <row r="663" ht="18.75" customHeight="1">
      <c r="A663" s="195"/>
      <c r="B663" s="43">
        <f t="shared" si="2"/>
        <v>662</v>
      </c>
      <c r="C663" s="80" t="s">
        <v>695</v>
      </c>
      <c r="D663" s="115">
        <v>1.0</v>
      </c>
      <c r="E663" s="8">
        <f t="shared" si="191"/>
        <v>45852</v>
      </c>
      <c r="F663" s="8">
        <f t="shared" si="40"/>
        <v>45853</v>
      </c>
      <c r="G663" s="9">
        <f t="shared" si="193"/>
        <v>661</v>
      </c>
      <c r="H663" s="7" t="s">
        <v>23</v>
      </c>
    </row>
    <row r="664" ht="18.75" customHeight="1">
      <c r="A664" s="195"/>
      <c r="B664" s="43">
        <f t="shared" si="2"/>
        <v>663</v>
      </c>
      <c r="C664" s="80" t="s">
        <v>696</v>
      </c>
      <c r="D664" s="110">
        <v>2.0</v>
      </c>
      <c r="E664" s="8">
        <f t="shared" si="191"/>
        <v>45853</v>
      </c>
      <c r="F664" s="8">
        <f t="shared" si="40"/>
        <v>45855</v>
      </c>
      <c r="G664" s="9">
        <f t="shared" si="193"/>
        <v>662</v>
      </c>
      <c r="H664" s="7" t="s">
        <v>23</v>
      </c>
    </row>
    <row r="665" ht="18.75" customHeight="1">
      <c r="A665" s="195"/>
      <c r="B665" s="43">
        <f t="shared" si="2"/>
        <v>664</v>
      </c>
      <c r="C665" s="80" t="s">
        <v>697</v>
      </c>
      <c r="D665" s="115">
        <v>2.0</v>
      </c>
      <c r="E665" s="8">
        <f t="shared" si="191"/>
        <v>45855</v>
      </c>
      <c r="F665" s="8">
        <f t="shared" si="40"/>
        <v>45857</v>
      </c>
      <c r="G665" s="9">
        <f t="shared" si="193"/>
        <v>663</v>
      </c>
      <c r="H665" s="7" t="s">
        <v>49</v>
      </c>
    </row>
    <row r="666" ht="18.75" customHeight="1">
      <c r="A666" s="195"/>
      <c r="B666" s="43">
        <f t="shared" si="2"/>
        <v>665</v>
      </c>
      <c r="C666" s="80" t="s">
        <v>698</v>
      </c>
      <c r="D666" s="21">
        <v>1.0</v>
      </c>
      <c r="E666" s="8">
        <f t="shared" si="191"/>
        <v>45857</v>
      </c>
      <c r="F666" s="8">
        <f t="shared" si="40"/>
        <v>45858</v>
      </c>
      <c r="G666" s="9">
        <f t="shared" si="193"/>
        <v>664</v>
      </c>
      <c r="H666" s="7" t="s">
        <v>10</v>
      </c>
    </row>
    <row r="667" ht="18.75" customHeight="1">
      <c r="A667" s="195"/>
      <c r="B667" s="43">
        <f t="shared" si="2"/>
        <v>666</v>
      </c>
      <c r="C667" s="80" t="s">
        <v>699</v>
      </c>
      <c r="D667" s="115">
        <v>1.0</v>
      </c>
      <c r="E667" s="8">
        <f t="shared" si="191"/>
        <v>45858</v>
      </c>
      <c r="F667" s="8">
        <f t="shared" si="40"/>
        <v>45859</v>
      </c>
      <c r="G667" s="9">
        <f t="shared" si="193"/>
        <v>665</v>
      </c>
      <c r="H667" s="7" t="s">
        <v>23</v>
      </c>
    </row>
    <row r="668" ht="18.75" customHeight="1">
      <c r="A668" s="195"/>
      <c r="B668" s="43">
        <f t="shared" si="2"/>
        <v>667</v>
      </c>
      <c r="C668" s="80" t="s">
        <v>700</v>
      </c>
      <c r="D668" s="110">
        <v>2.0</v>
      </c>
      <c r="E668" s="8">
        <f t="shared" si="191"/>
        <v>45859</v>
      </c>
      <c r="F668" s="8">
        <f t="shared" si="40"/>
        <v>45861</v>
      </c>
      <c r="G668" s="9">
        <f t="shared" si="193"/>
        <v>666</v>
      </c>
      <c r="H668" s="7" t="s">
        <v>23</v>
      </c>
    </row>
    <row r="669" ht="18.75" customHeight="1">
      <c r="A669" s="204"/>
      <c r="B669" s="43">
        <f t="shared" si="2"/>
        <v>668</v>
      </c>
      <c r="C669" s="80" t="s">
        <v>701</v>
      </c>
      <c r="D669" s="115">
        <v>2.0</v>
      </c>
      <c r="E669" s="8">
        <f t="shared" si="191"/>
        <v>45861</v>
      </c>
      <c r="F669" s="8">
        <f t="shared" si="40"/>
        <v>45863</v>
      </c>
      <c r="G669" s="9">
        <f t="shared" si="193"/>
        <v>667</v>
      </c>
      <c r="H669" s="7" t="s">
        <v>49</v>
      </c>
    </row>
    <row r="670" ht="18.75" customHeight="1">
      <c r="A670" s="205" t="s">
        <v>635</v>
      </c>
      <c r="B670" s="43">
        <f t="shared" si="2"/>
        <v>669</v>
      </c>
      <c r="C670" s="206" t="s">
        <v>702</v>
      </c>
      <c r="D670" s="21">
        <v>1.0</v>
      </c>
      <c r="E670" s="8">
        <f>F596</f>
        <v>45820</v>
      </c>
      <c r="F670" s="8">
        <f t="shared" si="40"/>
        <v>45821</v>
      </c>
      <c r="G670" s="9">
        <f>B596</f>
        <v>595</v>
      </c>
      <c r="H670" s="7" t="s">
        <v>10</v>
      </c>
    </row>
    <row r="671" ht="18.75" customHeight="1">
      <c r="A671" s="207" t="s">
        <v>703</v>
      </c>
      <c r="B671" s="43">
        <f t="shared" si="2"/>
        <v>670</v>
      </c>
      <c r="C671" s="206" t="s">
        <v>704</v>
      </c>
      <c r="D671" s="115">
        <v>1.0</v>
      </c>
      <c r="E671" s="8">
        <f t="shared" ref="E671:E705" si="194">F670</f>
        <v>45821</v>
      </c>
      <c r="F671" s="8">
        <f t="shared" si="40"/>
        <v>45822</v>
      </c>
      <c r="G671" s="9">
        <f t="shared" ref="G671:G673" si="195">B670</f>
        <v>669</v>
      </c>
      <c r="H671" s="7" t="s">
        <v>23</v>
      </c>
    </row>
    <row r="672" ht="18.75" customHeight="1">
      <c r="A672" s="208"/>
      <c r="B672" s="43">
        <f t="shared" si="2"/>
        <v>671</v>
      </c>
      <c r="C672" s="206" t="s">
        <v>705</v>
      </c>
      <c r="D672" s="110">
        <v>2.0</v>
      </c>
      <c r="E672" s="8">
        <f t="shared" si="194"/>
        <v>45822</v>
      </c>
      <c r="F672" s="8">
        <f t="shared" si="40"/>
        <v>45824</v>
      </c>
      <c r="G672" s="9">
        <f t="shared" si="195"/>
        <v>670</v>
      </c>
      <c r="H672" s="7" t="s">
        <v>23</v>
      </c>
    </row>
    <row r="673" ht="18.75" customHeight="1">
      <c r="A673" s="207"/>
      <c r="B673" s="43">
        <f t="shared" si="2"/>
        <v>672</v>
      </c>
      <c r="C673" s="206" t="s">
        <v>706</v>
      </c>
      <c r="D673" s="115">
        <v>2.0</v>
      </c>
      <c r="E673" s="8">
        <f t="shared" si="194"/>
        <v>45824</v>
      </c>
      <c r="F673" s="8">
        <f t="shared" si="40"/>
        <v>45826</v>
      </c>
      <c r="G673" s="9">
        <f t="shared" si="195"/>
        <v>671</v>
      </c>
      <c r="H673" s="7" t="s">
        <v>49</v>
      </c>
    </row>
    <row r="674" ht="18.75" customHeight="1">
      <c r="A674" s="207"/>
      <c r="B674" s="43">
        <f t="shared" si="2"/>
        <v>673</v>
      </c>
      <c r="C674" s="206" t="s">
        <v>707</v>
      </c>
      <c r="D674" s="21">
        <v>1.0</v>
      </c>
      <c r="E674" s="8">
        <f t="shared" si="194"/>
        <v>45826</v>
      </c>
      <c r="F674" s="8">
        <f t="shared" si="40"/>
        <v>45827</v>
      </c>
      <c r="G674" s="9" t="str">
        <f>B587&amp; "-" &amp;B605&amp; "-" &amp;B673</f>
        <v>586-604-672</v>
      </c>
      <c r="H674" s="7" t="s">
        <v>10</v>
      </c>
    </row>
    <row r="675" ht="18.75" customHeight="1">
      <c r="A675" s="207"/>
      <c r="B675" s="43">
        <f t="shared" si="2"/>
        <v>674</v>
      </c>
      <c r="C675" s="206" t="s">
        <v>708</v>
      </c>
      <c r="D675" s="115">
        <v>1.0</v>
      </c>
      <c r="E675" s="8">
        <f t="shared" si="194"/>
        <v>45827</v>
      </c>
      <c r="F675" s="8">
        <f t="shared" si="40"/>
        <v>45828</v>
      </c>
      <c r="G675" s="9">
        <f t="shared" ref="G675:G701" si="196">B674</f>
        <v>673</v>
      </c>
      <c r="H675" s="7" t="s">
        <v>23</v>
      </c>
    </row>
    <row r="676" ht="18.75" customHeight="1">
      <c r="A676" s="208"/>
      <c r="B676" s="43">
        <f t="shared" si="2"/>
        <v>675</v>
      </c>
      <c r="C676" s="206" t="s">
        <v>709</v>
      </c>
      <c r="D676" s="110">
        <v>2.0</v>
      </c>
      <c r="E676" s="8">
        <f t="shared" si="194"/>
        <v>45828</v>
      </c>
      <c r="F676" s="8">
        <f t="shared" si="40"/>
        <v>45830</v>
      </c>
      <c r="G676" s="9">
        <f t="shared" si="196"/>
        <v>674</v>
      </c>
      <c r="H676" s="7" t="s">
        <v>23</v>
      </c>
    </row>
    <row r="677" ht="18.75" customHeight="1">
      <c r="A677" s="208"/>
      <c r="B677" s="43">
        <f t="shared" si="2"/>
        <v>676</v>
      </c>
      <c r="C677" s="206" t="s">
        <v>710</v>
      </c>
      <c r="D677" s="115">
        <v>2.0</v>
      </c>
      <c r="E677" s="8">
        <f t="shared" si="194"/>
        <v>45830</v>
      </c>
      <c r="F677" s="8">
        <f t="shared" si="40"/>
        <v>45832</v>
      </c>
      <c r="G677" s="9">
        <f t="shared" si="196"/>
        <v>675</v>
      </c>
      <c r="H677" s="7" t="s">
        <v>49</v>
      </c>
    </row>
    <row r="678" ht="18.75" customHeight="1">
      <c r="A678" s="208"/>
      <c r="B678" s="43">
        <f t="shared" si="2"/>
        <v>677</v>
      </c>
      <c r="C678" s="206" t="s">
        <v>711</v>
      </c>
      <c r="D678" s="21">
        <v>1.0</v>
      </c>
      <c r="E678" s="8">
        <f t="shared" si="194"/>
        <v>45832</v>
      </c>
      <c r="F678" s="8">
        <f t="shared" si="40"/>
        <v>45833</v>
      </c>
      <c r="G678" s="9">
        <f t="shared" si="196"/>
        <v>676</v>
      </c>
      <c r="H678" s="7" t="s">
        <v>10</v>
      </c>
    </row>
    <row r="679" ht="18.75" customHeight="1">
      <c r="A679" s="208"/>
      <c r="B679" s="43">
        <f t="shared" si="2"/>
        <v>678</v>
      </c>
      <c r="C679" s="206" t="s">
        <v>712</v>
      </c>
      <c r="D679" s="115">
        <v>1.0</v>
      </c>
      <c r="E679" s="8">
        <f t="shared" si="194"/>
        <v>45833</v>
      </c>
      <c r="F679" s="8">
        <f t="shared" si="40"/>
        <v>45834</v>
      </c>
      <c r="G679" s="9">
        <f t="shared" si="196"/>
        <v>677</v>
      </c>
      <c r="H679" s="7" t="s">
        <v>23</v>
      </c>
    </row>
    <row r="680" ht="18.75" customHeight="1">
      <c r="A680" s="208"/>
      <c r="B680" s="43">
        <f t="shared" si="2"/>
        <v>679</v>
      </c>
      <c r="C680" s="206" t="s">
        <v>713</v>
      </c>
      <c r="D680" s="110">
        <v>2.0</v>
      </c>
      <c r="E680" s="8">
        <f t="shared" si="194"/>
        <v>45834</v>
      </c>
      <c r="F680" s="8">
        <f t="shared" si="40"/>
        <v>45836</v>
      </c>
      <c r="G680" s="9">
        <f t="shared" si="196"/>
        <v>678</v>
      </c>
      <c r="H680" s="7" t="s">
        <v>23</v>
      </c>
    </row>
    <row r="681" ht="18.75" customHeight="1">
      <c r="A681" s="208"/>
      <c r="B681" s="43">
        <f t="shared" si="2"/>
        <v>680</v>
      </c>
      <c r="C681" s="206" t="s">
        <v>714</v>
      </c>
      <c r="D681" s="115">
        <v>2.0</v>
      </c>
      <c r="E681" s="8">
        <f t="shared" si="194"/>
        <v>45836</v>
      </c>
      <c r="F681" s="8">
        <f t="shared" si="40"/>
        <v>45838</v>
      </c>
      <c r="G681" s="9">
        <f t="shared" si="196"/>
        <v>679</v>
      </c>
      <c r="H681" s="7" t="s">
        <v>49</v>
      </c>
    </row>
    <row r="682" ht="18.75" customHeight="1">
      <c r="A682" s="208"/>
      <c r="B682" s="43">
        <f t="shared" si="2"/>
        <v>681</v>
      </c>
      <c r="C682" s="206" t="s">
        <v>715</v>
      </c>
      <c r="D682" s="21">
        <v>1.0</v>
      </c>
      <c r="E682" s="8">
        <f t="shared" si="194"/>
        <v>45838</v>
      </c>
      <c r="F682" s="8">
        <f t="shared" si="40"/>
        <v>45839</v>
      </c>
      <c r="G682" s="9">
        <f t="shared" si="196"/>
        <v>680</v>
      </c>
      <c r="H682" s="7" t="s">
        <v>10</v>
      </c>
    </row>
    <row r="683" ht="18.75" customHeight="1">
      <c r="A683" s="208"/>
      <c r="B683" s="43">
        <f t="shared" si="2"/>
        <v>682</v>
      </c>
      <c r="C683" s="206" t="s">
        <v>716</v>
      </c>
      <c r="D683" s="115">
        <v>1.0</v>
      </c>
      <c r="E683" s="8">
        <f t="shared" si="194"/>
        <v>45839</v>
      </c>
      <c r="F683" s="8">
        <f t="shared" si="40"/>
        <v>45840</v>
      </c>
      <c r="G683" s="9">
        <f t="shared" si="196"/>
        <v>681</v>
      </c>
      <c r="H683" s="7" t="s">
        <v>23</v>
      </c>
    </row>
    <row r="684" ht="18.75" customHeight="1">
      <c r="A684" s="208"/>
      <c r="B684" s="43">
        <f t="shared" si="2"/>
        <v>683</v>
      </c>
      <c r="C684" s="206" t="s">
        <v>717</v>
      </c>
      <c r="D684" s="110">
        <v>2.0</v>
      </c>
      <c r="E684" s="8">
        <f t="shared" si="194"/>
        <v>45840</v>
      </c>
      <c r="F684" s="8">
        <f t="shared" si="40"/>
        <v>45842</v>
      </c>
      <c r="G684" s="9">
        <f t="shared" si="196"/>
        <v>682</v>
      </c>
      <c r="H684" s="7" t="s">
        <v>23</v>
      </c>
    </row>
    <row r="685" ht="18.75" customHeight="1">
      <c r="A685" s="208"/>
      <c r="B685" s="43">
        <f t="shared" si="2"/>
        <v>684</v>
      </c>
      <c r="C685" s="206" t="s">
        <v>718</v>
      </c>
      <c r="D685" s="115">
        <v>2.0</v>
      </c>
      <c r="E685" s="8">
        <f t="shared" si="194"/>
        <v>45842</v>
      </c>
      <c r="F685" s="8">
        <f t="shared" si="40"/>
        <v>45844</v>
      </c>
      <c r="G685" s="9">
        <f t="shared" si="196"/>
        <v>683</v>
      </c>
      <c r="H685" s="7" t="s">
        <v>49</v>
      </c>
    </row>
    <row r="686" ht="18.75" customHeight="1">
      <c r="A686" s="208"/>
      <c r="B686" s="43">
        <f t="shared" si="2"/>
        <v>685</v>
      </c>
      <c r="C686" s="206" t="s">
        <v>719</v>
      </c>
      <c r="D686" s="21">
        <v>1.0</v>
      </c>
      <c r="E686" s="8">
        <f t="shared" si="194"/>
        <v>45844</v>
      </c>
      <c r="F686" s="8">
        <f t="shared" si="40"/>
        <v>45845</v>
      </c>
      <c r="G686" s="9">
        <f t="shared" si="196"/>
        <v>684</v>
      </c>
      <c r="H686" s="7" t="s">
        <v>10</v>
      </c>
    </row>
    <row r="687" ht="18.75" customHeight="1">
      <c r="A687" s="208"/>
      <c r="B687" s="43">
        <f t="shared" si="2"/>
        <v>686</v>
      </c>
      <c r="C687" s="206" t="s">
        <v>720</v>
      </c>
      <c r="D687" s="115">
        <v>1.0</v>
      </c>
      <c r="E687" s="8">
        <f t="shared" si="194"/>
        <v>45845</v>
      </c>
      <c r="F687" s="8">
        <f t="shared" si="40"/>
        <v>45846</v>
      </c>
      <c r="G687" s="9">
        <f t="shared" si="196"/>
        <v>685</v>
      </c>
      <c r="H687" s="7" t="s">
        <v>23</v>
      </c>
    </row>
    <row r="688" ht="18.75" customHeight="1">
      <c r="A688" s="208"/>
      <c r="B688" s="43">
        <f t="shared" si="2"/>
        <v>687</v>
      </c>
      <c r="C688" s="206" t="s">
        <v>721</v>
      </c>
      <c r="D688" s="110">
        <v>2.0</v>
      </c>
      <c r="E688" s="8">
        <f t="shared" si="194"/>
        <v>45846</v>
      </c>
      <c r="F688" s="8">
        <f t="shared" si="40"/>
        <v>45848</v>
      </c>
      <c r="G688" s="9">
        <f t="shared" si="196"/>
        <v>686</v>
      </c>
      <c r="H688" s="7" t="s">
        <v>23</v>
      </c>
    </row>
    <row r="689" ht="18.75" customHeight="1">
      <c r="A689" s="208"/>
      <c r="B689" s="43">
        <f t="shared" si="2"/>
        <v>688</v>
      </c>
      <c r="C689" s="206" t="s">
        <v>722</v>
      </c>
      <c r="D689" s="115">
        <v>2.0</v>
      </c>
      <c r="E689" s="8">
        <f t="shared" si="194"/>
        <v>45848</v>
      </c>
      <c r="F689" s="8">
        <f t="shared" si="40"/>
        <v>45850</v>
      </c>
      <c r="G689" s="9">
        <f t="shared" si="196"/>
        <v>687</v>
      </c>
      <c r="H689" s="7" t="s">
        <v>49</v>
      </c>
    </row>
    <row r="690" ht="18.75" customHeight="1">
      <c r="A690" s="208"/>
      <c r="B690" s="43">
        <f t="shared" si="2"/>
        <v>689</v>
      </c>
      <c r="C690" s="206" t="s">
        <v>723</v>
      </c>
      <c r="D690" s="21">
        <v>1.0</v>
      </c>
      <c r="E690" s="8">
        <f t="shared" si="194"/>
        <v>45850</v>
      </c>
      <c r="F690" s="8">
        <f t="shared" si="40"/>
        <v>45851</v>
      </c>
      <c r="G690" s="9">
        <f t="shared" si="196"/>
        <v>688</v>
      </c>
      <c r="H690" s="7" t="s">
        <v>10</v>
      </c>
    </row>
    <row r="691" ht="18.75" customHeight="1">
      <c r="A691" s="208"/>
      <c r="B691" s="43">
        <f t="shared" si="2"/>
        <v>690</v>
      </c>
      <c r="C691" s="206" t="s">
        <v>724</v>
      </c>
      <c r="D691" s="115">
        <v>1.0</v>
      </c>
      <c r="E691" s="8">
        <f t="shared" si="194"/>
        <v>45851</v>
      </c>
      <c r="F691" s="8">
        <f t="shared" si="40"/>
        <v>45852</v>
      </c>
      <c r="G691" s="9">
        <f t="shared" si="196"/>
        <v>689</v>
      </c>
      <c r="H691" s="7" t="s">
        <v>23</v>
      </c>
    </row>
    <row r="692" ht="18.75" customHeight="1">
      <c r="A692" s="208"/>
      <c r="B692" s="43">
        <f t="shared" si="2"/>
        <v>691</v>
      </c>
      <c r="C692" s="206" t="s">
        <v>725</v>
      </c>
      <c r="D692" s="110">
        <v>2.0</v>
      </c>
      <c r="E692" s="8">
        <f t="shared" si="194"/>
        <v>45852</v>
      </c>
      <c r="F692" s="8">
        <f t="shared" si="40"/>
        <v>45854</v>
      </c>
      <c r="G692" s="9">
        <f t="shared" si="196"/>
        <v>690</v>
      </c>
      <c r="H692" s="7" t="s">
        <v>23</v>
      </c>
    </row>
    <row r="693" ht="18.75" customHeight="1">
      <c r="A693" s="208"/>
      <c r="B693" s="43">
        <f t="shared" si="2"/>
        <v>692</v>
      </c>
      <c r="C693" s="206" t="s">
        <v>726</v>
      </c>
      <c r="D693" s="115">
        <v>2.0</v>
      </c>
      <c r="E693" s="8">
        <f t="shared" si="194"/>
        <v>45854</v>
      </c>
      <c r="F693" s="8">
        <f t="shared" si="40"/>
        <v>45856</v>
      </c>
      <c r="G693" s="9">
        <f t="shared" si="196"/>
        <v>691</v>
      </c>
      <c r="H693" s="7" t="s">
        <v>49</v>
      </c>
    </row>
    <row r="694" ht="18.75" customHeight="1">
      <c r="A694" s="208"/>
      <c r="B694" s="43">
        <f t="shared" si="2"/>
        <v>693</v>
      </c>
      <c r="C694" s="206" t="s">
        <v>727</v>
      </c>
      <c r="D694" s="21">
        <v>1.0</v>
      </c>
      <c r="E694" s="8">
        <f t="shared" si="194"/>
        <v>45856</v>
      </c>
      <c r="F694" s="8">
        <f t="shared" si="40"/>
        <v>45857</v>
      </c>
      <c r="G694" s="9">
        <f t="shared" si="196"/>
        <v>692</v>
      </c>
      <c r="H694" s="7" t="s">
        <v>10</v>
      </c>
    </row>
    <row r="695" ht="18.75" customHeight="1">
      <c r="A695" s="208"/>
      <c r="B695" s="43">
        <f t="shared" si="2"/>
        <v>694</v>
      </c>
      <c r="C695" s="206" t="s">
        <v>728</v>
      </c>
      <c r="D695" s="115">
        <v>1.0</v>
      </c>
      <c r="E695" s="8">
        <f t="shared" si="194"/>
        <v>45857</v>
      </c>
      <c r="F695" s="8">
        <f t="shared" si="40"/>
        <v>45858</v>
      </c>
      <c r="G695" s="9">
        <f t="shared" si="196"/>
        <v>693</v>
      </c>
      <c r="H695" s="7" t="s">
        <v>23</v>
      </c>
    </row>
    <row r="696" ht="18.75" customHeight="1">
      <c r="A696" s="208"/>
      <c r="B696" s="43">
        <f t="shared" si="2"/>
        <v>695</v>
      </c>
      <c r="C696" s="206" t="s">
        <v>729</v>
      </c>
      <c r="D696" s="110">
        <v>2.0</v>
      </c>
      <c r="E696" s="8">
        <f t="shared" si="194"/>
        <v>45858</v>
      </c>
      <c r="F696" s="8">
        <f t="shared" si="40"/>
        <v>45860</v>
      </c>
      <c r="G696" s="9">
        <f t="shared" si="196"/>
        <v>694</v>
      </c>
      <c r="H696" s="7" t="s">
        <v>23</v>
      </c>
    </row>
    <row r="697" ht="18.75" customHeight="1">
      <c r="A697" s="208"/>
      <c r="B697" s="43">
        <f t="shared" si="2"/>
        <v>696</v>
      </c>
      <c r="C697" s="206" t="s">
        <v>730</v>
      </c>
      <c r="D697" s="115">
        <v>2.0</v>
      </c>
      <c r="E697" s="8">
        <f t="shared" si="194"/>
        <v>45860</v>
      </c>
      <c r="F697" s="8">
        <f t="shared" si="40"/>
        <v>45862</v>
      </c>
      <c r="G697" s="9">
        <f t="shared" si="196"/>
        <v>695</v>
      </c>
      <c r="H697" s="7" t="s">
        <v>49</v>
      </c>
    </row>
    <row r="698" ht="18.75" customHeight="1">
      <c r="A698" s="208"/>
      <c r="B698" s="43">
        <f t="shared" si="2"/>
        <v>697</v>
      </c>
      <c r="C698" s="206" t="s">
        <v>731</v>
      </c>
      <c r="D698" s="21">
        <v>1.0</v>
      </c>
      <c r="E698" s="8">
        <f t="shared" si="194"/>
        <v>45862</v>
      </c>
      <c r="F698" s="8">
        <f t="shared" si="40"/>
        <v>45863</v>
      </c>
      <c r="G698" s="9">
        <f t="shared" si="196"/>
        <v>696</v>
      </c>
      <c r="H698" s="7" t="s">
        <v>10</v>
      </c>
    </row>
    <row r="699" ht="18.75" customHeight="1">
      <c r="A699" s="208"/>
      <c r="B699" s="43">
        <f t="shared" si="2"/>
        <v>698</v>
      </c>
      <c r="C699" s="206" t="s">
        <v>732</v>
      </c>
      <c r="D699" s="115">
        <v>1.0</v>
      </c>
      <c r="E699" s="8">
        <f t="shared" si="194"/>
        <v>45863</v>
      </c>
      <c r="F699" s="8">
        <f t="shared" si="40"/>
        <v>45864</v>
      </c>
      <c r="G699" s="9">
        <f t="shared" si="196"/>
        <v>697</v>
      </c>
      <c r="H699" s="7" t="s">
        <v>23</v>
      </c>
    </row>
    <row r="700" ht="18.75" customHeight="1">
      <c r="A700" s="208"/>
      <c r="B700" s="43">
        <f t="shared" si="2"/>
        <v>699</v>
      </c>
      <c r="C700" s="206" t="s">
        <v>733</v>
      </c>
      <c r="D700" s="110">
        <v>2.0</v>
      </c>
      <c r="E700" s="8">
        <f t="shared" si="194"/>
        <v>45864</v>
      </c>
      <c r="F700" s="8">
        <f t="shared" si="40"/>
        <v>45866</v>
      </c>
      <c r="G700" s="9">
        <f t="shared" si="196"/>
        <v>698</v>
      </c>
      <c r="H700" s="7" t="s">
        <v>23</v>
      </c>
    </row>
    <row r="701" ht="18.75" customHeight="1">
      <c r="A701" s="209"/>
      <c r="B701" s="43">
        <f t="shared" si="2"/>
        <v>700</v>
      </c>
      <c r="C701" s="206" t="s">
        <v>734</v>
      </c>
      <c r="D701" s="115">
        <v>2.0</v>
      </c>
      <c r="E701" s="8">
        <f t="shared" si="194"/>
        <v>45866</v>
      </c>
      <c r="F701" s="8">
        <f t="shared" si="40"/>
        <v>45868</v>
      </c>
      <c r="G701" s="9">
        <f t="shared" si="196"/>
        <v>699</v>
      </c>
      <c r="H701" s="7" t="s">
        <v>49</v>
      </c>
    </row>
    <row r="702" ht="18.75" customHeight="1">
      <c r="A702" s="32" t="s">
        <v>211</v>
      </c>
      <c r="B702" s="5">
        <f t="shared" si="2"/>
        <v>701</v>
      </c>
      <c r="C702" s="153" t="s">
        <v>735</v>
      </c>
      <c r="D702" s="115">
        <v>1.0</v>
      </c>
      <c r="E702" s="8">
        <f t="shared" si="194"/>
        <v>45868</v>
      </c>
      <c r="F702" s="8">
        <f t="shared" si="40"/>
        <v>45869</v>
      </c>
      <c r="G702" s="9" t="str">
        <f>B637&amp; "-" &amp;B669&amp; "-" &amp;B701</f>
        <v>636-668-700</v>
      </c>
      <c r="H702" s="7" t="s">
        <v>10</v>
      </c>
    </row>
    <row r="703" ht="18.75" customHeight="1">
      <c r="A703" s="210"/>
      <c r="B703" s="43">
        <f t="shared" si="2"/>
        <v>702</v>
      </c>
      <c r="C703" s="153" t="s">
        <v>736</v>
      </c>
      <c r="D703" s="115">
        <v>1.0</v>
      </c>
      <c r="E703" s="8">
        <f t="shared" si="194"/>
        <v>45869</v>
      </c>
      <c r="F703" s="8">
        <f t="shared" si="40"/>
        <v>45870</v>
      </c>
      <c r="G703" s="9">
        <f t="shared" ref="G703:G705" si="197">B702</f>
        <v>701</v>
      </c>
      <c r="H703" s="7" t="s">
        <v>23</v>
      </c>
    </row>
    <row r="704" ht="18.75" customHeight="1">
      <c r="A704" s="134"/>
      <c r="B704" s="43">
        <f t="shared" si="2"/>
        <v>703</v>
      </c>
      <c r="C704" s="153" t="s">
        <v>737</v>
      </c>
      <c r="D704" s="110">
        <v>2.0</v>
      </c>
      <c r="E704" s="8">
        <f t="shared" si="194"/>
        <v>45870</v>
      </c>
      <c r="F704" s="8">
        <f t="shared" si="40"/>
        <v>45872</v>
      </c>
      <c r="G704" s="9">
        <f t="shared" si="197"/>
        <v>702</v>
      </c>
      <c r="H704" s="7" t="s">
        <v>23</v>
      </c>
    </row>
    <row r="705" ht="18.75" customHeight="1">
      <c r="A705" s="134"/>
      <c r="B705" s="43">
        <f t="shared" si="2"/>
        <v>704</v>
      </c>
      <c r="C705" s="153" t="s">
        <v>738</v>
      </c>
      <c r="D705" s="115">
        <v>2.0</v>
      </c>
      <c r="E705" s="8">
        <f t="shared" si="194"/>
        <v>45872</v>
      </c>
      <c r="F705" s="8">
        <f t="shared" si="40"/>
        <v>45874</v>
      </c>
      <c r="G705" s="9">
        <f t="shared" si="197"/>
        <v>703</v>
      </c>
      <c r="H705" s="7" t="s">
        <v>49</v>
      </c>
    </row>
    <row r="706" ht="18.75" customHeight="1">
      <c r="A706" s="211"/>
      <c r="B706" s="43">
        <f t="shared" si="2"/>
        <v>705</v>
      </c>
      <c r="C706" s="153" t="s">
        <v>739</v>
      </c>
      <c r="D706" s="115">
        <v>1.0</v>
      </c>
      <c r="E706" s="8">
        <f>F701</f>
        <v>45868</v>
      </c>
      <c r="F706" s="8">
        <f t="shared" si="40"/>
        <v>45869</v>
      </c>
      <c r="G706" s="212" t="str">
        <f>B637&amp; "-" &amp;B669&amp; "-" &amp;B701</f>
        <v>636-668-700</v>
      </c>
      <c r="H706" s="7" t="s">
        <v>10</v>
      </c>
    </row>
    <row r="707" ht="18.75" customHeight="1">
      <c r="A707" s="213"/>
      <c r="B707" s="43">
        <f t="shared" si="2"/>
        <v>706</v>
      </c>
      <c r="C707" s="153" t="s">
        <v>740</v>
      </c>
      <c r="D707" s="115">
        <v>1.0</v>
      </c>
      <c r="E707" s="8">
        <f t="shared" ref="E707:E709" si="198">F706</f>
        <v>45869</v>
      </c>
      <c r="F707" s="8">
        <f t="shared" si="40"/>
        <v>45870</v>
      </c>
      <c r="G707" s="9">
        <f t="shared" ref="G707:G709" si="199">B706</f>
        <v>705</v>
      </c>
      <c r="H707" s="7" t="s">
        <v>23</v>
      </c>
    </row>
    <row r="708" ht="18.75" customHeight="1">
      <c r="A708" s="213"/>
      <c r="B708" s="43">
        <f t="shared" si="2"/>
        <v>707</v>
      </c>
      <c r="C708" s="153" t="s">
        <v>741</v>
      </c>
      <c r="D708" s="110">
        <v>2.0</v>
      </c>
      <c r="E708" s="8">
        <f t="shared" si="198"/>
        <v>45870</v>
      </c>
      <c r="F708" s="8">
        <f t="shared" si="40"/>
        <v>45872</v>
      </c>
      <c r="G708" s="9">
        <f t="shared" si="199"/>
        <v>706</v>
      </c>
      <c r="H708" s="7" t="s">
        <v>23</v>
      </c>
    </row>
    <row r="709" ht="18.75" customHeight="1">
      <c r="A709" s="134"/>
      <c r="B709" s="43">
        <f t="shared" si="2"/>
        <v>708</v>
      </c>
      <c r="C709" s="153" t="s">
        <v>742</v>
      </c>
      <c r="D709" s="115">
        <v>2.0</v>
      </c>
      <c r="E709" s="8">
        <f t="shared" si="198"/>
        <v>45872</v>
      </c>
      <c r="F709" s="8">
        <f t="shared" si="40"/>
        <v>45874</v>
      </c>
      <c r="G709" s="9">
        <f t="shared" si="199"/>
        <v>707</v>
      </c>
      <c r="H709" s="7" t="s">
        <v>49</v>
      </c>
    </row>
    <row r="710" ht="18.75" customHeight="1">
      <c r="A710" s="134"/>
      <c r="B710" s="43">
        <f t="shared" si="2"/>
        <v>709</v>
      </c>
      <c r="C710" s="153" t="s">
        <v>743</v>
      </c>
      <c r="D710" s="115">
        <v>1.0</v>
      </c>
      <c r="E710" s="8">
        <f>F701</f>
        <v>45868</v>
      </c>
      <c r="F710" s="8">
        <f t="shared" si="40"/>
        <v>45869</v>
      </c>
      <c r="G710" s="9" t="str">
        <f>B637&amp; "-" &amp;B669&amp; "-" &amp;B701</f>
        <v>636-668-700</v>
      </c>
      <c r="H710" s="7" t="s">
        <v>10</v>
      </c>
    </row>
    <row r="711" ht="18.75" customHeight="1">
      <c r="A711" s="134"/>
      <c r="B711" s="43">
        <f t="shared" si="2"/>
        <v>710</v>
      </c>
      <c r="C711" s="153" t="s">
        <v>744</v>
      </c>
      <c r="D711" s="115">
        <v>1.0</v>
      </c>
      <c r="E711" s="8">
        <f t="shared" ref="E711:E713" si="200">F710</f>
        <v>45869</v>
      </c>
      <c r="F711" s="8">
        <f t="shared" si="40"/>
        <v>45870</v>
      </c>
      <c r="G711" s="9">
        <f t="shared" ref="G711:G713" si="201">B710</f>
        <v>709</v>
      </c>
      <c r="H711" s="7" t="s">
        <v>23</v>
      </c>
    </row>
    <row r="712" ht="18.75" customHeight="1">
      <c r="A712" s="134"/>
      <c r="B712" s="43">
        <f t="shared" si="2"/>
        <v>711</v>
      </c>
      <c r="C712" s="153" t="s">
        <v>745</v>
      </c>
      <c r="D712" s="110">
        <v>2.0</v>
      </c>
      <c r="E712" s="8">
        <f t="shared" si="200"/>
        <v>45870</v>
      </c>
      <c r="F712" s="8">
        <f t="shared" si="40"/>
        <v>45872</v>
      </c>
      <c r="G712" s="9">
        <f t="shared" si="201"/>
        <v>710</v>
      </c>
      <c r="H712" s="7" t="s">
        <v>23</v>
      </c>
    </row>
    <row r="713" ht="18.75" customHeight="1">
      <c r="A713" s="155"/>
      <c r="B713" s="190">
        <f t="shared" si="2"/>
        <v>712</v>
      </c>
      <c r="C713" s="153" t="s">
        <v>746</v>
      </c>
      <c r="D713" s="115">
        <v>2.0</v>
      </c>
      <c r="E713" s="8">
        <f t="shared" si="200"/>
        <v>45872</v>
      </c>
      <c r="F713" s="8">
        <f t="shared" si="40"/>
        <v>45874</v>
      </c>
      <c r="G713" s="9">
        <f t="shared" si="201"/>
        <v>711</v>
      </c>
      <c r="H713" s="7" t="s">
        <v>49</v>
      </c>
    </row>
    <row r="714" ht="18.75" customHeight="1">
      <c r="A714" s="15" t="s">
        <v>747</v>
      </c>
      <c r="B714" s="5">
        <f t="shared" si="2"/>
        <v>713</v>
      </c>
      <c r="C714" s="214" t="s">
        <v>748</v>
      </c>
      <c r="D714" s="115">
        <v>1.0</v>
      </c>
      <c r="E714" s="8">
        <f>F701</f>
        <v>45868</v>
      </c>
      <c r="F714" s="8">
        <f t="shared" si="40"/>
        <v>45869</v>
      </c>
      <c r="G714" s="9" t="str">
        <f>B637&amp; "-" &amp;B669&amp; "-" &amp;B701</f>
        <v>636-668-700</v>
      </c>
      <c r="H714" s="7" t="s">
        <v>10</v>
      </c>
    </row>
    <row r="715" ht="18.75" customHeight="1">
      <c r="A715" s="19"/>
      <c r="B715" s="43">
        <f t="shared" si="2"/>
        <v>714</v>
      </c>
      <c r="C715" s="214" t="s">
        <v>749</v>
      </c>
      <c r="D715" s="115">
        <v>1.0</v>
      </c>
      <c r="E715" s="8">
        <f t="shared" ref="E715:E717" si="202">F714</f>
        <v>45869</v>
      </c>
      <c r="F715" s="8">
        <f t="shared" si="40"/>
        <v>45870</v>
      </c>
      <c r="G715" s="9">
        <f t="shared" ref="G715:G717" si="203">B714</f>
        <v>713</v>
      </c>
      <c r="H715" s="7" t="s">
        <v>23</v>
      </c>
    </row>
    <row r="716" ht="18.75" customHeight="1">
      <c r="A716" s="122"/>
      <c r="B716" s="5">
        <f t="shared" si="2"/>
        <v>715</v>
      </c>
      <c r="C716" s="214" t="s">
        <v>750</v>
      </c>
      <c r="D716" s="110">
        <v>2.0</v>
      </c>
      <c r="E716" s="8">
        <f t="shared" si="202"/>
        <v>45870</v>
      </c>
      <c r="F716" s="8">
        <f t="shared" si="40"/>
        <v>45872</v>
      </c>
      <c r="G716" s="9">
        <f t="shared" si="203"/>
        <v>714</v>
      </c>
      <c r="H716" s="7" t="s">
        <v>23</v>
      </c>
    </row>
    <row r="717" ht="18.75" customHeight="1">
      <c r="A717" s="122"/>
      <c r="B717" s="5">
        <f t="shared" si="2"/>
        <v>716</v>
      </c>
      <c r="C717" s="214" t="s">
        <v>751</v>
      </c>
      <c r="D717" s="115">
        <v>2.0</v>
      </c>
      <c r="E717" s="8">
        <f t="shared" si="202"/>
        <v>45872</v>
      </c>
      <c r="F717" s="8">
        <f t="shared" si="40"/>
        <v>45874</v>
      </c>
      <c r="G717" s="9">
        <f t="shared" si="203"/>
        <v>715</v>
      </c>
      <c r="H717" s="7" t="s">
        <v>49</v>
      </c>
    </row>
    <row r="718" ht="18.75" customHeight="1">
      <c r="A718" s="215"/>
      <c r="B718" s="5">
        <f t="shared" si="2"/>
        <v>717</v>
      </c>
      <c r="C718" s="214" t="s">
        <v>752</v>
      </c>
      <c r="D718" s="115">
        <v>1.0</v>
      </c>
      <c r="E718" s="8">
        <f>F701</f>
        <v>45868</v>
      </c>
      <c r="F718" s="8">
        <f t="shared" si="40"/>
        <v>45869</v>
      </c>
      <c r="G718" s="9" t="str">
        <f>B637&amp; "-" &amp;B669&amp; "-" &amp;B701</f>
        <v>636-668-700</v>
      </c>
      <c r="H718" s="7" t="s">
        <v>10</v>
      </c>
    </row>
    <row r="719" ht="18.75" customHeight="1">
      <c r="A719" s="215"/>
      <c r="B719" s="5">
        <f t="shared" si="2"/>
        <v>718</v>
      </c>
      <c r="C719" s="214" t="s">
        <v>753</v>
      </c>
      <c r="D719" s="115">
        <v>1.0</v>
      </c>
      <c r="E719" s="8">
        <f t="shared" ref="E719:E721" si="204">F718</f>
        <v>45869</v>
      </c>
      <c r="F719" s="8">
        <f t="shared" si="40"/>
        <v>45870</v>
      </c>
      <c r="G719" s="9">
        <f t="shared" ref="G719:G721" si="205">B718</f>
        <v>717</v>
      </c>
      <c r="H719" s="7" t="s">
        <v>23</v>
      </c>
    </row>
    <row r="720" ht="18.75" customHeight="1">
      <c r="A720" s="215"/>
      <c r="B720" s="5">
        <f t="shared" si="2"/>
        <v>719</v>
      </c>
      <c r="C720" s="214" t="s">
        <v>754</v>
      </c>
      <c r="D720" s="110">
        <v>2.0</v>
      </c>
      <c r="E720" s="8">
        <f t="shared" si="204"/>
        <v>45870</v>
      </c>
      <c r="F720" s="8">
        <f t="shared" si="40"/>
        <v>45872</v>
      </c>
      <c r="G720" s="9">
        <f t="shared" si="205"/>
        <v>718</v>
      </c>
      <c r="H720" s="7" t="s">
        <v>23</v>
      </c>
    </row>
    <row r="721" ht="18.75" customHeight="1">
      <c r="A721" s="122"/>
      <c r="B721" s="5">
        <f t="shared" si="2"/>
        <v>720</v>
      </c>
      <c r="C721" s="214" t="s">
        <v>755</v>
      </c>
      <c r="D721" s="115">
        <v>2.0</v>
      </c>
      <c r="E721" s="8">
        <f t="shared" si="204"/>
        <v>45872</v>
      </c>
      <c r="F721" s="8">
        <f t="shared" si="40"/>
        <v>45874</v>
      </c>
      <c r="G721" s="9">
        <f t="shared" si="205"/>
        <v>719</v>
      </c>
      <c r="H721" s="7" t="s">
        <v>49</v>
      </c>
    </row>
    <row r="722" ht="18.75" customHeight="1">
      <c r="A722" s="121"/>
      <c r="B722" s="43">
        <f t="shared" si="2"/>
        <v>721</v>
      </c>
      <c r="C722" s="214" t="s">
        <v>756</v>
      </c>
      <c r="D722" s="115">
        <v>1.0</v>
      </c>
      <c r="E722" s="8">
        <f>F701</f>
        <v>45868</v>
      </c>
      <c r="F722" s="8">
        <f t="shared" si="40"/>
        <v>45869</v>
      </c>
      <c r="G722" s="9" t="str">
        <f>B637&amp; "-" &amp;B669&amp; "-" &amp;B701</f>
        <v>636-668-700</v>
      </c>
      <c r="H722" s="7" t="s">
        <v>10</v>
      </c>
    </row>
    <row r="723" ht="18.75" customHeight="1">
      <c r="A723" s="121"/>
      <c r="B723" s="43">
        <f t="shared" si="2"/>
        <v>722</v>
      </c>
      <c r="C723" s="214" t="s">
        <v>757</v>
      </c>
      <c r="D723" s="115">
        <v>1.0</v>
      </c>
      <c r="E723" s="8">
        <f t="shared" ref="E723:E725" si="206">F722</f>
        <v>45869</v>
      </c>
      <c r="F723" s="8">
        <f t="shared" si="40"/>
        <v>45870</v>
      </c>
      <c r="G723" s="9">
        <f t="shared" ref="G723:G725" si="207">B722</f>
        <v>721</v>
      </c>
      <c r="H723" s="7" t="s">
        <v>23</v>
      </c>
    </row>
    <row r="724" ht="18.75" customHeight="1">
      <c r="A724" s="121"/>
      <c r="B724" s="43">
        <f t="shared" si="2"/>
        <v>723</v>
      </c>
      <c r="C724" s="214" t="s">
        <v>758</v>
      </c>
      <c r="D724" s="110">
        <v>2.0</v>
      </c>
      <c r="E724" s="8">
        <f t="shared" si="206"/>
        <v>45870</v>
      </c>
      <c r="F724" s="8">
        <f t="shared" si="40"/>
        <v>45872</v>
      </c>
      <c r="G724" s="9">
        <f t="shared" si="207"/>
        <v>722</v>
      </c>
      <c r="H724" s="7" t="s">
        <v>23</v>
      </c>
    </row>
    <row r="725" ht="18.75" customHeight="1">
      <c r="A725" s="216"/>
      <c r="B725" s="43">
        <f t="shared" si="2"/>
        <v>724</v>
      </c>
      <c r="C725" s="214" t="s">
        <v>759</v>
      </c>
      <c r="D725" s="115">
        <v>2.0</v>
      </c>
      <c r="E725" s="8">
        <f t="shared" si="206"/>
        <v>45872</v>
      </c>
      <c r="F725" s="8">
        <f t="shared" si="40"/>
        <v>45874</v>
      </c>
      <c r="G725" s="9">
        <f t="shared" si="207"/>
        <v>723</v>
      </c>
      <c r="H725" s="7" t="s">
        <v>49</v>
      </c>
    </row>
    <row r="726" ht="18.75" customHeight="1">
      <c r="A726" s="112" t="s">
        <v>760</v>
      </c>
      <c r="B726" s="5">
        <f t="shared" si="2"/>
        <v>725</v>
      </c>
      <c r="C726" s="157" t="s">
        <v>761</v>
      </c>
      <c r="D726" s="115">
        <v>1.0</v>
      </c>
      <c r="E726" s="8">
        <f>F701</f>
        <v>45868</v>
      </c>
      <c r="F726" s="8">
        <f t="shared" si="40"/>
        <v>45869</v>
      </c>
      <c r="G726" s="9" t="str">
        <f>B637&amp; "-" &amp;B669&amp; "-" &amp;B701</f>
        <v>636-668-700</v>
      </c>
      <c r="H726" s="7" t="s">
        <v>10</v>
      </c>
    </row>
    <row r="727" ht="18.75" customHeight="1">
      <c r="A727" s="217"/>
      <c r="B727" s="43">
        <f t="shared" si="2"/>
        <v>726</v>
      </c>
      <c r="C727" s="157" t="s">
        <v>762</v>
      </c>
      <c r="D727" s="115">
        <v>1.0</v>
      </c>
      <c r="E727" s="8">
        <f t="shared" ref="E727:E729" si="208">F726</f>
        <v>45869</v>
      </c>
      <c r="F727" s="8">
        <f t="shared" si="40"/>
        <v>45870</v>
      </c>
      <c r="G727" s="9">
        <f t="shared" ref="G727:G729" si="209">B726</f>
        <v>725</v>
      </c>
      <c r="H727" s="7" t="s">
        <v>23</v>
      </c>
    </row>
    <row r="728" ht="18.75" customHeight="1">
      <c r="A728" s="140"/>
      <c r="B728" s="5">
        <f t="shared" si="2"/>
        <v>727</v>
      </c>
      <c r="C728" s="157" t="s">
        <v>763</v>
      </c>
      <c r="D728" s="110">
        <v>2.0</v>
      </c>
      <c r="E728" s="8">
        <f t="shared" si="208"/>
        <v>45870</v>
      </c>
      <c r="F728" s="8">
        <f t="shared" si="40"/>
        <v>45872</v>
      </c>
      <c r="G728" s="9">
        <f t="shared" si="209"/>
        <v>726</v>
      </c>
      <c r="H728" s="7" t="s">
        <v>23</v>
      </c>
    </row>
    <row r="729" ht="18.75" customHeight="1">
      <c r="A729" s="140"/>
      <c r="B729" s="5">
        <f t="shared" si="2"/>
        <v>728</v>
      </c>
      <c r="C729" s="157" t="s">
        <v>764</v>
      </c>
      <c r="D729" s="115">
        <v>2.0</v>
      </c>
      <c r="E729" s="8">
        <f t="shared" si="208"/>
        <v>45872</v>
      </c>
      <c r="F729" s="8">
        <f t="shared" si="40"/>
        <v>45874</v>
      </c>
      <c r="G729" s="9">
        <f t="shared" si="209"/>
        <v>727</v>
      </c>
      <c r="H729" s="7" t="s">
        <v>49</v>
      </c>
    </row>
    <row r="730" ht="18.75" customHeight="1">
      <c r="A730" s="218"/>
      <c r="B730" s="5">
        <f t="shared" si="2"/>
        <v>729</v>
      </c>
      <c r="C730" s="157" t="s">
        <v>765</v>
      </c>
      <c r="D730" s="115">
        <v>1.0</v>
      </c>
      <c r="E730" s="8">
        <f>F701</f>
        <v>45868</v>
      </c>
      <c r="F730" s="8">
        <f t="shared" si="40"/>
        <v>45869</v>
      </c>
      <c r="G730" s="9" t="str">
        <f>B637&amp; "-" &amp;B669&amp; "-" &amp;B701</f>
        <v>636-668-700</v>
      </c>
      <c r="H730" s="7" t="s">
        <v>10</v>
      </c>
    </row>
    <row r="731" ht="18.75" customHeight="1">
      <c r="A731" s="218"/>
      <c r="B731" s="5">
        <f t="shared" si="2"/>
        <v>730</v>
      </c>
      <c r="C731" s="157" t="s">
        <v>766</v>
      </c>
      <c r="D731" s="115">
        <v>1.0</v>
      </c>
      <c r="E731" s="8">
        <f t="shared" ref="E731:E733" si="210">F730</f>
        <v>45869</v>
      </c>
      <c r="F731" s="8">
        <f t="shared" si="40"/>
        <v>45870</v>
      </c>
      <c r="G731" s="9">
        <f t="shared" ref="G731:G733" si="211">B730</f>
        <v>729</v>
      </c>
      <c r="H731" s="7" t="s">
        <v>23</v>
      </c>
    </row>
    <row r="732" ht="18.75" customHeight="1">
      <c r="A732" s="218"/>
      <c r="B732" s="5">
        <f t="shared" si="2"/>
        <v>731</v>
      </c>
      <c r="C732" s="157" t="s">
        <v>767</v>
      </c>
      <c r="D732" s="110">
        <v>2.0</v>
      </c>
      <c r="E732" s="8">
        <f t="shared" si="210"/>
        <v>45870</v>
      </c>
      <c r="F732" s="8">
        <f t="shared" si="40"/>
        <v>45872</v>
      </c>
      <c r="G732" s="9">
        <f t="shared" si="211"/>
        <v>730</v>
      </c>
      <c r="H732" s="7" t="s">
        <v>23</v>
      </c>
    </row>
    <row r="733" ht="18.75" customHeight="1">
      <c r="A733" s="140"/>
      <c r="B733" s="5">
        <f t="shared" si="2"/>
        <v>732</v>
      </c>
      <c r="C733" s="157" t="s">
        <v>768</v>
      </c>
      <c r="D733" s="115">
        <v>2.0</v>
      </c>
      <c r="E733" s="8">
        <f t="shared" si="210"/>
        <v>45872</v>
      </c>
      <c r="F733" s="8">
        <f t="shared" si="40"/>
        <v>45874</v>
      </c>
      <c r="G733" s="9">
        <f t="shared" si="211"/>
        <v>731</v>
      </c>
      <c r="H733" s="7" t="s">
        <v>49</v>
      </c>
    </row>
    <row r="734" ht="18.75" customHeight="1">
      <c r="A734" s="156"/>
      <c r="B734" s="43">
        <f t="shared" si="2"/>
        <v>733</v>
      </c>
      <c r="C734" s="157" t="s">
        <v>769</v>
      </c>
      <c r="D734" s="115">
        <v>1.0</v>
      </c>
      <c r="E734" s="8">
        <f>F701</f>
        <v>45868</v>
      </c>
      <c r="F734" s="8">
        <f t="shared" si="40"/>
        <v>45869</v>
      </c>
      <c r="G734" s="9" t="str">
        <f>B637&amp; "-" &amp;B669&amp; "-" &amp;B701</f>
        <v>636-668-700</v>
      </c>
      <c r="H734" s="7" t="s">
        <v>10</v>
      </c>
    </row>
    <row r="735" ht="18.75" customHeight="1">
      <c r="A735" s="156"/>
      <c r="B735" s="43">
        <f t="shared" si="2"/>
        <v>734</v>
      </c>
      <c r="C735" s="157" t="s">
        <v>770</v>
      </c>
      <c r="D735" s="115">
        <v>1.0</v>
      </c>
      <c r="E735" s="8">
        <f t="shared" ref="E735:E737" si="212">F734</f>
        <v>45869</v>
      </c>
      <c r="F735" s="8">
        <f t="shared" si="40"/>
        <v>45870</v>
      </c>
      <c r="G735" s="9">
        <f t="shared" ref="G735:G737" si="213">B734</f>
        <v>733</v>
      </c>
      <c r="H735" s="7" t="s">
        <v>23</v>
      </c>
    </row>
    <row r="736" ht="18.75" customHeight="1">
      <c r="A736" s="156"/>
      <c r="B736" s="43">
        <f t="shared" si="2"/>
        <v>735</v>
      </c>
      <c r="C736" s="157" t="s">
        <v>771</v>
      </c>
      <c r="D736" s="110">
        <v>2.0</v>
      </c>
      <c r="E736" s="8">
        <f t="shared" si="212"/>
        <v>45870</v>
      </c>
      <c r="F736" s="8">
        <f t="shared" si="40"/>
        <v>45872</v>
      </c>
      <c r="G736" s="9">
        <f t="shared" si="213"/>
        <v>734</v>
      </c>
      <c r="H736" s="7" t="s">
        <v>23</v>
      </c>
    </row>
    <row r="737" ht="18.75" customHeight="1">
      <c r="A737" s="219"/>
      <c r="B737" s="43">
        <f t="shared" si="2"/>
        <v>736</v>
      </c>
      <c r="C737" s="157" t="s">
        <v>772</v>
      </c>
      <c r="D737" s="115">
        <v>2.0</v>
      </c>
      <c r="E737" s="8">
        <f t="shared" si="212"/>
        <v>45872</v>
      </c>
      <c r="F737" s="8">
        <f t="shared" si="40"/>
        <v>45874</v>
      </c>
      <c r="G737" s="9">
        <f t="shared" si="213"/>
        <v>735</v>
      </c>
      <c r="H737" s="7" t="s">
        <v>49</v>
      </c>
    </row>
    <row r="738" ht="18.75" customHeight="1">
      <c r="A738" s="75" t="s">
        <v>773</v>
      </c>
      <c r="B738" s="5">
        <f t="shared" si="2"/>
        <v>737</v>
      </c>
      <c r="C738" s="133" t="s">
        <v>774</v>
      </c>
      <c r="D738" s="115">
        <v>1.0</v>
      </c>
      <c r="E738" s="8">
        <f>F701</f>
        <v>45868</v>
      </c>
      <c r="F738" s="8">
        <f t="shared" si="40"/>
        <v>45869</v>
      </c>
      <c r="G738" s="9" t="str">
        <f>B637&amp; "-" &amp;B669&amp; "-" &amp;B701</f>
        <v>636-668-700</v>
      </c>
      <c r="H738" s="7" t="s">
        <v>10</v>
      </c>
    </row>
    <row r="739" ht="18.75" customHeight="1">
      <c r="A739" s="220"/>
      <c r="B739" s="43">
        <f t="shared" si="2"/>
        <v>738</v>
      </c>
      <c r="C739" s="133" t="s">
        <v>775</v>
      </c>
      <c r="D739" s="115">
        <v>1.0</v>
      </c>
      <c r="E739" s="8">
        <f t="shared" ref="E739:E741" si="214">F738</f>
        <v>45869</v>
      </c>
      <c r="F739" s="8">
        <f t="shared" si="40"/>
        <v>45870</v>
      </c>
      <c r="G739" s="9">
        <f t="shared" ref="G739:G741" si="215">B738</f>
        <v>737</v>
      </c>
      <c r="H739" s="7" t="s">
        <v>23</v>
      </c>
    </row>
    <row r="740" ht="18.75" customHeight="1">
      <c r="A740" s="151"/>
      <c r="B740" s="5">
        <f t="shared" si="2"/>
        <v>739</v>
      </c>
      <c r="C740" s="133" t="s">
        <v>776</v>
      </c>
      <c r="D740" s="110">
        <v>2.0</v>
      </c>
      <c r="E740" s="8">
        <f t="shared" si="214"/>
        <v>45870</v>
      </c>
      <c r="F740" s="8">
        <f t="shared" si="40"/>
        <v>45872</v>
      </c>
      <c r="G740" s="9">
        <f t="shared" si="215"/>
        <v>738</v>
      </c>
      <c r="H740" s="7" t="s">
        <v>23</v>
      </c>
    </row>
    <row r="741" ht="18.75" customHeight="1">
      <c r="A741" s="151"/>
      <c r="B741" s="5">
        <f t="shared" si="2"/>
        <v>740</v>
      </c>
      <c r="C741" s="133" t="s">
        <v>777</v>
      </c>
      <c r="D741" s="115">
        <v>2.0</v>
      </c>
      <c r="E741" s="8">
        <f t="shared" si="214"/>
        <v>45872</v>
      </c>
      <c r="F741" s="8">
        <f t="shared" si="40"/>
        <v>45874</v>
      </c>
      <c r="G741" s="9">
        <f t="shared" si="215"/>
        <v>739</v>
      </c>
      <c r="H741" s="7" t="s">
        <v>49</v>
      </c>
    </row>
    <row r="742" ht="18.75" customHeight="1">
      <c r="A742" s="221"/>
      <c r="B742" s="5">
        <f t="shared" si="2"/>
        <v>741</v>
      </c>
      <c r="C742" s="133" t="s">
        <v>778</v>
      </c>
      <c r="D742" s="115">
        <v>1.0</v>
      </c>
      <c r="E742" s="8">
        <f>F701</f>
        <v>45868</v>
      </c>
      <c r="F742" s="8">
        <f t="shared" si="40"/>
        <v>45869</v>
      </c>
      <c r="G742" s="9" t="str">
        <f>B637&amp; "-" &amp;B669&amp; "-" &amp;B701</f>
        <v>636-668-700</v>
      </c>
      <c r="H742" s="7" t="s">
        <v>10</v>
      </c>
    </row>
    <row r="743" ht="18.75" customHeight="1">
      <c r="A743" s="221"/>
      <c r="B743" s="5">
        <f t="shared" si="2"/>
        <v>742</v>
      </c>
      <c r="C743" s="133" t="s">
        <v>779</v>
      </c>
      <c r="D743" s="115">
        <v>1.0</v>
      </c>
      <c r="E743" s="8">
        <f t="shared" ref="E743:E745" si="216">F742</f>
        <v>45869</v>
      </c>
      <c r="F743" s="8">
        <f t="shared" si="40"/>
        <v>45870</v>
      </c>
      <c r="G743" s="9">
        <f t="shared" ref="G743:G745" si="217">B742</f>
        <v>741</v>
      </c>
      <c r="H743" s="7" t="s">
        <v>23</v>
      </c>
    </row>
    <row r="744" ht="18.75" customHeight="1">
      <c r="A744" s="221"/>
      <c r="B744" s="5">
        <f t="shared" si="2"/>
        <v>743</v>
      </c>
      <c r="C744" s="133" t="s">
        <v>780</v>
      </c>
      <c r="D744" s="110">
        <v>2.0</v>
      </c>
      <c r="E744" s="8">
        <f t="shared" si="216"/>
        <v>45870</v>
      </c>
      <c r="F744" s="8">
        <f t="shared" si="40"/>
        <v>45872</v>
      </c>
      <c r="G744" s="9">
        <f t="shared" si="217"/>
        <v>742</v>
      </c>
      <c r="H744" s="7" t="s">
        <v>23</v>
      </c>
    </row>
    <row r="745" ht="18.75" customHeight="1">
      <c r="A745" s="151"/>
      <c r="B745" s="5">
        <f t="shared" si="2"/>
        <v>744</v>
      </c>
      <c r="C745" s="133" t="s">
        <v>781</v>
      </c>
      <c r="D745" s="115">
        <v>2.0</v>
      </c>
      <c r="E745" s="8">
        <f t="shared" si="216"/>
        <v>45872</v>
      </c>
      <c r="F745" s="8">
        <f t="shared" si="40"/>
        <v>45874</v>
      </c>
      <c r="G745" s="9">
        <f t="shared" si="217"/>
        <v>743</v>
      </c>
      <c r="H745" s="7" t="s">
        <v>49</v>
      </c>
    </row>
    <row r="746" ht="18.75" customHeight="1">
      <c r="A746" s="131"/>
      <c r="B746" s="43">
        <f t="shared" si="2"/>
        <v>745</v>
      </c>
      <c r="C746" s="133" t="s">
        <v>782</v>
      </c>
      <c r="D746" s="115">
        <v>1.0</v>
      </c>
      <c r="E746" s="8">
        <f>F701</f>
        <v>45868</v>
      </c>
      <c r="F746" s="8">
        <f t="shared" si="40"/>
        <v>45869</v>
      </c>
      <c r="G746" s="9" t="str">
        <f>B637&amp; "-" &amp;B669&amp; "-" &amp;B701</f>
        <v>636-668-700</v>
      </c>
      <c r="H746" s="7" t="s">
        <v>10</v>
      </c>
    </row>
    <row r="747" ht="18.75" customHeight="1">
      <c r="A747" s="131"/>
      <c r="B747" s="43">
        <f t="shared" si="2"/>
        <v>746</v>
      </c>
      <c r="C747" s="133" t="s">
        <v>783</v>
      </c>
      <c r="D747" s="115">
        <v>1.0</v>
      </c>
      <c r="E747" s="8">
        <f t="shared" ref="E747:E749" si="218">F746</f>
        <v>45869</v>
      </c>
      <c r="F747" s="8">
        <f t="shared" si="40"/>
        <v>45870</v>
      </c>
      <c r="G747" s="9">
        <f t="shared" ref="G747:G749" si="219">B746</f>
        <v>745</v>
      </c>
      <c r="H747" s="7" t="s">
        <v>23</v>
      </c>
    </row>
    <row r="748" ht="18.75" customHeight="1">
      <c r="A748" s="131"/>
      <c r="B748" s="43">
        <f t="shared" si="2"/>
        <v>747</v>
      </c>
      <c r="C748" s="133" t="s">
        <v>784</v>
      </c>
      <c r="D748" s="110">
        <v>2.0</v>
      </c>
      <c r="E748" s="8">
        <f t="shared" si="218"/>
        <v>45870</v>
      </c>
      <c r="F748" s="8">
        <f t="shared" si="40"/>
        <v>45872</v>
      </c>
      <c r="G748" s="9">
        <f t="shared" si="219"/>
        <v>746</v>
      </c>
      <c r="H748" s="7" t="s">
        <v>23</v>
      </c>
    </row>
    <row r="749" ht="18.75" customHeight="1">
      <c r="A749" s="132"/>
      <c r="B749" s="43">
        <f t="shared" si="2"/>
        <v>748</v>
      </c>
      <c r="C749" s="133" t="s">
        <v>785</v>
      </c>
      <c r="D749" s="115">
        <v>2.0</v>
      </c>
      <c r="E749" s="8">
        <f t="shared" si="218"/>
        <v>45872</v>
      </c>
      <c r="F749" s="8">
        <f t="shared" si="40"/>
        <v>45874</v>
      </c>
      <c r="G749" s="9">
        <f t="shared" si="219"/>
        <v>747</v>
      </c>
      <c r="H749" s="7" t="s">
        <v>49</v>
      </c>
    </row>
    <row r="750" ht="18.75" customHeight="1">
      <c r="A750" s="112" t="s">
        <v>786</v>
      </c>
      <c r="B750" s="5">
        <f t="shared" si="2"/>
        <v>749</v>
      </c>
      <c r="C750" s="157" t="s">
        <v>787</v>
      </c>
      <c r="D750" s="115">
        <v>1.0</v>
      </c>
      <c r="E750" s="8">
        <f>F701</f>
        <v>45868</v>
      </c>
      <c r="F750" s="8">
        <f t="shared" si="40"/>
        <v>45869</v>
      </c>
      <c r="G750" s="9" t="str">
        <f>B637&amp; "-" &amp;B669&amp; "-" &amp;B701</f>
        <v>636-668-700</v>
      </c>
      <c r="H750" s="7" t="s">
        <v>10</v>
      </c>
    </row>
    <row r="751" ht="18.75" customHeight="1">
      <c r="A751" s="217"/>
      <c r="B751" s="43">
        <f t="shared" si="2"/>
        <v>750</v>
      </c>
      <c r="C751" s="157" t="s">
        <v>788</v>
      </c>
      <c r="D751" s="115">
        <v>1.0</v>
      </c>
      <c r="E751" s="8">
        <f t="shared" ref="E751:E753" si="220">F750</f>
        <v>45869</v>
      </c>
      <c r="F751" s="8">
        <f t="shared" si="40"/>
        <v>45870</v>
      </c>
      <c r="G751" s="9">
        <f t="shared" ref="G751:G753" si="221">B750</f>
        <v>749</v>
      </c>
      <c r="H751" s="7" t="s">
        <v>23</v>
      </c>
    </row>
    <row r="752" ht="18.75" customHeight="1">
      <c r="A752" s="140"/>
      <c r="B752" s="5">
        <f t="shared" si="2"/>
        <v>751</v>
      </c>
      <c r="C752" s="157" t="s">
        <v>789</v>
      </c>
      <c r="D752" s="110">
        <v>2.0</v>
      </c>
      <c r="E752" s="8">
        <f t="shared" si="220"/>
        <v>45870</v>
      </c>
      <c r="F752" s="8">
        <f t="shared" si="40"/>
        <v>45872</v>
      </c>
      <c r="G752" s="9">
        <f t="shared" si="221"/>
        <v>750</v>
      </c>
      <c r="H752" s="7" t="s">
        <v>23</v>
      </c>
    </row>
    <row r="753" ht="18.75" customHeight="1">
      <c r="A753" s="140"/>
      <c r="B753" s="5">
        <f t="shared" si="2"/>
        <v>752</v>
      </c>
      <c r="C753" s="157" t="s">
        <v>790</v>
      </c>
      <c r="D753" s="115">
        <v>2.0</v>
      </c>
      <c r="E753" s="8">
        <f t="shared" si="220"/>
        <v>45872</v>
      </c>
      <c r="F753" s="8">
        <f t="shared" si="40"/>
        <v>45874</v>
      </c>
      <c r="G753" s="9">
        <f t="shared" si="221"/>
        <v>751</v>
      </c>
      <c r="H753" s="7" t="s">
        <v>49</v>
      </c>
    </row>
    <row r="754" ht="18.75" customHeight="1">
      <c r="A754" s="218"/>
      <c r="B754" s="5">
        <f t="shared" si="2"/>
        <v>753</v>
      </c>
      <c r="C754" s="157" t="s">
        <v>791</v>
      </c>
      <c r="D754" s="115">
        <v>1.0</v>
      </c>
      <c r="E754" s="8">
        <f>F701</f>
        <v>45868</v>
      </c>
      <c r="F754" s="8">
        <f t="shared" si="40"/>
        <v>45869</v>
      </c>
      <c r="G754" s="9" t="str">
        <f>B637&amp; "-" &amp;B669&amp; "-" &amp;B701</f>
        <v>636-668-700</v>
      </c>
      <c r="H754" s="7" t="s">
        <v>10</v>
      </c>
    </row>
    <row r="755" ht="18.75" customHeight="1">
      <c r="A755" s="218"/>
      <c r="B755" s="5">
        <f t="shared" si="2"/>
        <v>754</v>
      </c>
      <c r="C755" s="157" t="s">
        <v>792</v>
      </c>
      <c r="D755" s="115">
        <v>1.0</v>
      </c>
      <c r="E755" s="8">
        <f t="shared" ref="E755:E757" si="222">F754</f>
        <v>45869</v>
      </c>
      <c r="F755" s="8">
        <f t="shared" si="40"/>
        <v>45870</v>
      </c>
      <c r="G755" s="9">
        <f t="shared" ref="G755:G757" si="223">B754</f>
        <v>753</v>
      </c>
      <c r="H755" s="7" t="s">
        <v>23</v>
      </c>
    </row>
    <row r="756" ht="18.75" customHeight="1">
      <c r="A756" s="218"/>
      <c r="B756" s="5">
        <f t="shared" si="2"/>
        <v>755</v>
      </c>
      <c r="C756" s="157" t="s">
        <v>793</v>
      </c>
      <c r="D756" s="110">
        <v>2.0</v>
      </c>
      <c r="E756" s="8">
        <f t="shared" si="222"/>
        <v>45870</v>
      </c>
      <c r="F756" s="8">
        <f t="shared" si="40"/>
        <v>45872</v>
      </c>
      <c r="G756" s="9">
        <f t="shared" si="223"/>
        <v>754</v>
      </c>
      <c r="H756" s="7" t="s">
        <v>23</v>
      </c>
    </row>
    <row r="757" ht="18.75" customHeight="1">
      <c r="A757" s="140"/>
      <c r="B757" s="5">
        <f t="shared" si="2"/>
        <v>756</v>
      </c>
      <c r="C757" s="157" t="s">
        <v>794</v>
      </c>
      <c r="D757" s="115">
        <v>2.0</v>
      </c>
      <c r="E757" s="8">
        <f t="shared" si="222"/>
        <v>45872</v>
      </c>
      <c r="F757" s="8">
        <f t="shared" si="40"/>
        <v>45874</v>
      </c>
      <c r="G757" s="9">
        <f t="shared" si="223"/>
        <v>755</v>
      </c>
      <c r="H757" s="7" t="s">
        <v>49</v>
      </c>
    </row>
    <row r="758" ht="18.75" customHeight="1">
      <c r="A758" s="156"/>
      <c r="B758" s="43">
        <f t="shared" si="2"/>
        <v>757</v>
      </c>
      <c r="C758" s="157" t="s">
        <v>795</v>
      </c>
      <c r="D758" s="115">
        <v>1.0</v>
      </c>
      <c r="E758" s="8">
        <f>F701</f>
        <v>45868</v>
      </c>
      <c r="F758" s="8">
        <f t="shared" si="40"/>
        <v>45869</v>
      </c>
      <c r="G758" s="9" t="str">
        <f>B637&amp; "-" &amp;B669&amp; "-" &amp;B701</f>
        <v>636-668-700</v>
      </c>
      <c r="H758" s="7" t="s">
        <v>10</v>
      </c>
    </row>
    <row r="759" ht="18.75" customHeight="1">
      <c r="A759" s="156"/>
      <c r="B759" s="43">
        <f t="shared" si="2"/>
        <v>758</v>
      </c>
      <c r="C759" s="157" t="s">
        <v>796</v>
      </c>
      <c r="D759" s="115">
        <v>1.0</v>
      </c>
      <c r="E759" s="8">
        <f t="shared" ref="E759:E761" si="224">F758</f>
        <v>45869</v>
      </c>
      <c r="F759" s="8">
        <f t="shared" si="40"/>
        <v>45870</v>
      </c>
      <c r="G759" s="9">
        <f t="shared" ref="G759:G761" si="225">B758</f>
        <v>757</v>
      </c>
      <c r="H759" s="7" t="s">
        <v>23</v>
      </c>
    </row>
    <row r="760" ht="18.75" customHeight="1">
      <c r="A760" s="156"/>
      <c r="B760" s="43">
        <f t="shared" si="2"/>
        <v>759</v>
      </c>
      <c r="C760" s="157" t="s">
        <v>797</v>
      </c>
      <c r="D760" s="110">
        <v>2.0</v>
      </c>
      <c r="E760" s="8">
        <f t="shared" si="224"/>
        <v>45870</v>
      </c>
      <c r="F760" s="8">
        <f t="shared" si="40"/>
        <v>45872</v>
      </c>
      <c r="G760" s="9">
        <f t="shared" si="225"/>
        <v>758</v>
      </c>
      <c r="H760" s="7" t="s">
        <v>23</v>
      </c>
    </row>
    <row r="761" ht="18.75" customHeight="1">
      <c r="A761" s="219"/>
      <c r="B761" s="43">
        <f t="shared" si="2"/>
        <v>760</v>
      </c>
      <c r="C761" s="157" t="s">
        <v>798</v>
      </c>
      <c r="D761" s="115">
        <v>2.0</v>
      </c>
      <c r="E761" s="8">
        <f t="shared" si="224"/>
        <v>45872</v>
      </c>
      <c r="F761" s="8">
        <f t="shared" si="40"/>
        <v>45874</v>
      </c>
      <c r="G761" s="9">
        <f t="shared" si="225"/>
        <v>759</v>
      </c>
      <c r="H761" s="7" t="s">
        <v>49</v>
      </c>
    </row>
    <row r="762" ht="18.75" customHeight="1">
      <c r="A762" s="92" t="s">
        <v>799</v>
      </c>
      <c r="B762" s="5">
        <f t="shared" si="2"/>
        <v>761</v>
      </c>
      <c r="C762" s="222" t="s">
        <v>800</v>
      </c>
      <c r="D762" s="115">
        <v>1.0</v>
      </c>
      <c r="E762" s="8">
        <f>F701</f>
        <v>45868</v>
      </c>
      <c r="F762" s="8">
        <f t="shared" si="40"/>
        <v>45869</v>
      </c>
      <c r="G762" s="9" t="str">
        <f>B637&amp; "-" &amp;B669&amp; "-" &amp;B701</f>
        <v>636-668-700</v>
      </c>
      <c r="H762" s="7" t="s">
        <v>10</v>
      </c>
    </row>
    <row r="763" ht="18.75" customHeight="1">
      <c r="A763" s="69"/>
      <c r="B763" s="43">
        <f t="shared" si="2"/>
        <v>762</v>
      </c>
      <c r="C763" s="222" t="s">
        <v>801</v>
      </c>
      <c r="D763" s="115">
        <v>1.0</v>
      </c>
      <c r="E763" s="8">
        <f t="shared" ref="E763:E765" si="226">F762</f>
        <v>45869</v>
      </c>
      <c r="F763" s="8">
        <f t="shared" si="40"/>
        <v>45870</v>
      </c>
      <c r="G763" s="9">
        <f t="shared" ref="G763:G765" si="227">B762</f>
        <v>761</v>
      </c>
      <c r="H763" s="7" t="s">
        <v>23</v>
      </c>
    </row>
    <row r="764" ht="18.75" customHeight="1">
      <c r="A764" s="171"/>
      <c r="B764" s="5">
        <f t="shared" si="2"/>
        <v>763</v>
      </c>
      <c r="C764" s="222" t="s">
        <v>802</v>
      </c>
      <c r="D764" s="110">
        <v>2.0</v>
      </c>
      <c r="E764" s="8">
        <f t="shared" si="226"/>
        <v>45870</v>
      </c>
      <c r="F764" s="8">
        <f t="shared" si="40"/>
        <v>45872</v>
      </c>
      <c r="G764" s="9">
        <f t="shared" si="227"/>
        <v>762</v>
      </c>
      <c r="H764" s="7" t="s">
        <v>23</v>
      </c>
    </row>
    <row r="765" ht="18.75" customHeight="1">
      <c r="A765" s="171"/>
      <c r="B765" s="5">
        <f t="shared" si="2"/>
        <v>764</v>
      </c>
      <c r="C765" s="222" t="s">
        <v>803</v>
      </c>
      <c r="D765" s="115">
        <v>2.0</v>
      </c>
      <c r="E765" s="8">
        <f t="shared" si="226"/>
        <v>45872</v>
      </c>
      <c r="F765" s="8">
        <f t="shared" si="40"/>
        <v>45874</v>
      </c>
      <c r="G765" s="9">
        <f t="shared" si="227"/>
        <v>763</v>
      </c>
      <c r="H765" s="7" t="s">
        <v>49</v>
      </c>
    </row>
    <row r="766" ht="18.75" customHeight="1">
      <c r="A766" s="223"/>
      <c r="B766" s="5">
        <f t="shared" si="2"/>
        <v>765</v>
      </c>
      <c r="C766" s="222" t="s">
        <v>804</v>
      </c>
      <c r="D766" s="115">
        <v>1.0</v>
      </c>
      <c r="E766" s="8">
        <f>F701</f>
        <v>45868</v>
      </c>
      <c r="F766" s="8">
        <f t="shared" si="40"/>
        <v>45869</v>
      </c>
      <c r="G766" s="9" t="str">
        <f>B637&amp; "-" &amp;B669&amp; "-" &amp;B701</f>
        <v>636-668-700</v>
      </c>
      <c r="H766" s="7" t="s">
        <v>10</v>
      </c>
    </row>
    <row r="767" ht="18.75" customHeight="1">
      <c r="A767" s="223"/>
      <c r="B767" s="5">
        <f t="shared" si="2"/>
        <v>766</v>
      </c>
      <c r="C767" s="222" t="s">
        <v>805</v>
      </c>
      <c r="D767" s="115">
        <v>1.0</v>
      </c>
      <c r="E767" s="8">
        <f t="shared" ref="E767:E769" si="228">F766</f>
        <v>45869</v>
      </c>
      <c r="F767" s="8">
        <f t="shared" si="40"/>
        <v>45870</v>
      </c>
      <c r="G767" s="9">
        <f t="shared" ref="G767:G769" si="229">B766</f>
        <v>765</v>
      </c>
      <c r="H767" s="7" t="s">
        <v>23</v>
      </c>
    </row>
    <row r="768" ht="18.75" customHeight="1">
      <c r="A768" s="223"/>
      <c r="B768" s="5">
        <f t="shared" si="2"/>
        <v>767</v>
      </c>
      <c r="C768" s="222" t="s">
        <v>806</v>
      </c>
      <c r="D768" s="110">
        <v>2.0</v>
      </c>
      <c r="E768" s="8">
        <f t="shared" si="228"/>
        <v>45870</v>
      </c>
      <c r="F768" s="8">
        <f t="shared" si="40"/>
        <v>45872</v>
      </c>
      <c r="G768" s="9">
        <f t="shared" si="229"/>
        <v>766</v>
      </c>
      <c r="H768" s="7" t="s">
        <v>23</v>
      </c>
    </row>
    <row r="769" ht="18.75" customHeight="1">
      <c r="A769" s="171"/>
      <c r="B769" s="5">
        <f t="shared" si="2"/>
        <v>768</v>
      </c>
      <c r="C769" s="222" t="s">
        <v>807</v>
      </c>
      <c r="D769" s="115">
        <v>2.0</v>
      </c>
      <c r="E769" s="8">
        <f t="shared" si="228"/>
        <v>45872</v>
      </c>
      <c r="F769" s="8">
        <f t="shared" si="40"/>
        <v>45874</v>
      </c>
      <c r="G769" s="9">
        <f t="shared" si="229"/>
        <v>767</v>
      </c>
      <c r="H769" s="7" t="s">
        <v>49</v>
      </c>
    </row>
    <row r="770" ht="18.75" customHeight="1">
      <c r="A770" s="136"/>
      <c r="B770" s="43">
        <f t="shared" si="2"/>
        <v>769</v>
      </c>
      <c r="C770" s="222" t="s">
        <v>808</v>
      </c>
      <c r="D770" s="115">
        <v>1.0</v>
      </c>
      <c r="E770" s="8">
        <f>F701</f>
        <v>45868</v>
      </c>
      <c r="F770" s="8">
        <f t="shared" si="40"/>
        <v>45869</v>
      </c>
      <c r="G770" s="9" t="str">
        <f>B637&amp; "-" &amp;B669&amp; "-" &amp;B701</f>
        <v>636-668-700</v>
      </c>
      <c r="H770" s="7" t="s">
        <v>10</v>
      </c>
    </row>
    <row r="771" ht="18.75" customHeight="1">
      <c r="A771" s="136"/>
      <c r="B771" s="43">
        <f t="shared" si="2"/>
        <v>770</v>
      </c>
      <c r="C771" s="222" t="s">
        <v>809</v>
      </c>
      <c r="D771" s="115">
        <v>1.0</v>
      </c>
      <c r="E771" s="8">
        <f t="shared" ref="E771:E773" si="230">F770</f>
        <v>45869</v>
      </c>
      <c r="F771" s="8">
        <f t="shared" si="40"/>
        <v>45870</v>
      </c>
      <c r="G771" s="9">
        <f t="shared" ref="G771:G773" si="231">B770</f>
        <v>769</v>
      </c>
      <c r="H771" s="7" t="s">
        <v>23</v>
      </c>
    </row>
    <row r="772" ht="18.75" customHeight="1">
      <c r="A772" s="136"/>
      <c r="B772" s="43">
        <f t="shared" si="2"/>
        <v>771</v>
      </c>
      <c r="C772" s="222" t="s">
        <v>810</v>
      </c>
      <c r="D772" s="110">
        <v>2.0</v>
      </c>
      <c r="E772" s="8">
        <f t="shared" si="230"/>
        <v>45870</v>
      </c>
      <c r="F772" s="8">
        <f t="shared" si="40"/>
        <v>45872</v>
      </c>
      <c r="G772" s="9">
        <f t="shared" si="231"/>
        <v>770</v>
      </c>
      <c r="H772" s="7" t="s">
        <v>23</v>
      </c>
    </row>
    <row r="773" ht="18.75" customHeight="1">
      <c r="A773" s="203"/>
      <c r="B773" s="43">
        <f t="shared" si="2"/>
        <v>772</v>
      </c>
      <c r="C773" s="222" t="s">
        <v>811</v>
      </c>
      <c r="D773" s="115">
        <v>2.0</v>
      </c>
      <c r="E773" s="8">
        <f t="shared" si="230"/>
        <v>45872</v>
      </c>
      <c r="F773" s="8">
        <f t="shared" si="40"/>
        <v>45874</v>
      </c>
      <c r="G773" s="9">
        <f t="shared" si="231"/>
        <v>771</v>
      </c>
      <c r="H773" s="7" t="s">
        <v>49</v>
      </c>
    </row>
    <row r="774" ht="18.75" customHeight="1">
      <c r="A774" s="4" t="s">
        <v>812</v>
      </c>
      <c r="B774" s="5">
        <f t="shared" si="2"/>
        <v>773</v>
      </c>
      <c r="C774" s="224" t="s">
        <v>813</v>
      </c>
      <c r="D774" s="115">
        <v>1.0</v>
      </c>
      <c r="E774" s="8">
        <f>F701</f>
        <v>45868</v>
      </c>
      <c r="F774" s="8">
        <f t="shared" si="40"/>
        <v>45869</v>
      </c>
      <c r="G774" s="9" t="str">
        <f>B637&amp; "-" &amp;B669&amp; "-" &amp;B701</f>
        <v>636-668-700</v>
      </c>
      <c r="H774" s="7" t="s">
        <v>10</v>
      </c>
    </row>
    <row r="775" ht="18.75" customHeight="1">
      <c r="A775" s="225"/>
      <c r="B775" s="43">
        <f t="shared" si="2"/>
        <v>774</v>
      </c>
      <c r="C775" s="224" t="s">
        <v>814</v>
      </c>
      <c r="D775" s="115">
        <v>1.0</v>
      </c>
      <c r="E775" s="8">
        <f t="shared" ref="E775:E777" si="232">F774</f>
        <v>45869</v>
      </c>
      <c r="F775" s="8">
        <f t="shared" si="40"/>
        <v>45870</v>
      </c>
      <c r="G775" s="9">
        <f t="shared" ref="G775:G777" si="233">B774</f>
        <v>773</v>
      </c>
      <c r="H775" s="7" t="s">
        <v>23</v>
      </c>
    </row>
    <row r="776" ht="18.75" customHeight="1">
      <c r="A776" s="226"/>
      <c r="B776" s="5">
        <f t="shared" si="2"/>
        <v>775</v>
      </c>
      <c r="C776" s="224" t="s">
        <v>815</v>
      </c>
      <c r="D776" s="110">
        <v>2.0</v>
      </c>
      <c r="E776" s="8">
        <f t="shared" si="232"/>
        <v>45870</v>
      </c>
      <c r="F776" s="8">
        <f t="shared" si="40"/>
        <v>45872</v>
      </c>
      <c r="G776" s="9">
        <f t="shared" si="233"/>
        <v>774</v>
      </c>
      <c r="H776" s="7" t="s">
        <v>23</v>
      </c>
    </row>
    <row r="777" ht="18.75" customHeight="1">
      <c r="A777" s="226"/>
      <c r="B777" s="5">
        <f t="shared" si="2"/>
        <v>776</v>
      </c>
      <c r="C777" s="224" t="s">
        <v>816</v>
      </c>
      <c r="D777" s="115">
        <v>2.0</v>
      </c>
      <c r="E777" s="8">
        <f t="shared" si="232"/>
        <v>45872</v>
      </c>
      <c r="F777" s="8">
        <f t="shared" si="40"/>
        <v>45874</v>
      </c>
      <c r="G777" s="9">
        <f t="shared" si="233"/>
        <v>775</v>
      </c>
      <c r="H777" s="7" t="s">
        <v>49</v>
      </c>
    </row>
    <row r="778" ht="18.75" customHeight="1">
      <c r="A778" s="227"/>
      <c r="B778" s="5">
        <f t="shared" si="2"/>
        <v>777</v>
      </c>
      <c r="C778" s="224" t="s">
        <v>817</v>
      </c>
      <c r="D778" s="115">
        <v>1.0</v>
      </c>
      <c r="E778" s="8">
        <f>F701</f>
        <v>45868</v>
      </c>
      <c r="F778" s="8">
        <f t="shared" si="40"/>
        <v>45869</v>
      </c>
      <c r="G778" s="9" t="str">
        <f>B637&amp; "-" &amp;B669&amp; "-" &amp;B701</f>
        <v>636-668-700</v>
      </c>
      <c r="H778" s="7" t="s">
        <v>10</v>
      </c>
    </row>
    <row r="779" ht="18.75" customHeight="1">
      <c r="A779" s="227"/>
      <c r="B779" s="5">
        <f t="shared" si="2"/>
        <v>778</v>
      </c>
      <c r="C779" s="224" t="s">
        <v>818</v>
      </c>
      <c r="D779" s="115">
        <v>1.0</v>
      </c>
      <c r="E779" s="8">
        <f t="shared" ref="E779:E781" si="234">F778</f>
        <v>45869</v>
      </c>
      <c r="F779" s="8">
        <f t="shared" si="40"/>
        <v>45870</v>
      </c>
      <c r="G779" s="9">
        <f t="shared" ref="G779:G781" si="235">B778</f>
        <v>777</v>
      </c>
      <c r="H779" s="7" t="s">
        <v>23</v>
      </c>
    </row>
    <row r="780" ht="18.75" customHeight="1">
      <c r="A780" s="227"/>
      <c r="B780" s="5">
        <f t="shared" si="2"/>
        <v>779</v>
      </c>
      <c r="C780" s="224" t="s">
        <v>819</v>
      </c>
      <c r="D780" s="110">
        <v>2.0</v>
      </c>
      <c r="E780" s="8">
        <f t="shared" si="234"/>
        <v>45870</v>
      </c>
      <c r="F780" s="8">
        <f t="shared" si="40"/>
        <v>45872</v>
      </c>
      <c r="G780" s="9">
        <f t="shared" si="235"/>
        <v>778</v>
      </c>
      <c r="H780" s="7" t="s">
        <v>23</v>
      </c>
    </row>
    <row r="781" ht="18.75" customHeight="1">
      <c r="A781" s="226"/>
      <c r="B781" s="5">
        <f t="shared" si="2"/>
        <v>780</v>
      </c>
      <c r="C781" s="224" t="s">
        <v>820</v>
      </c>
      <c r="D781" s="115">
        <v>2.0</v>
      </c>
      <c r="E781" s="8">
        <f t="shared" si="234"/>
        <v>45872</v>
      </c>
      <c r="F781" s="8">
        <f t="shared" si="40"/>
        <v>45874</v>
      </c>
      <c r="G781" s="9">
        <f t="shared" si="235"/>
        <v>779</v>
      </c>
      <c r="H781" s="7" t="s">
        <v>49</v>
      </c>
    </row>
    <row r="782" ht="18.75" customHeight="1">
      <c r="A782" s="200"/>
      <c r="B782" s="43">
        <f t="shared" si="2"/>
        <v>781</v>
      </c>
      <c r="C782" s="224" t="s">
        <v>821</v>
      </c>
      <c r="D782" s="115">
        <v>1.0</v>
      </c>
      <c r="E782" s="8">
        <f>F701</f>
        <v>45868</v>
      </c>
      <c r="F782" s="8">
        <f t="shared" si="40"/>
        <v>45869</v>
      </c>
      <c r="G782" s="9" t="str">
        <f>B637&amp; "-" &amp;B669&amp; "-" &amp;B701</f>
        <v>636-668-700</v>
      </c>
      <c r="H782" s="7" t="s">
        <v>10</v>
      </c>
    </row>
    <row r="783" ht="18.75" customHeight="1">
      <c r="A783" s="200"/>
      <c r="B783" s="43">
        <f t="shared" si="2"/>
        <v>782</v>
      </c>
      <c r="C783" s="224" t="s">
        <v>822</v>
      </c>
      <c r="D783" s="115">
        <v>1.0</v>
      </c>
      <c r="E783" s="8">
        <f t="shared" ref="E783:E788" si="236">F782</f>
        <v>45869</v>
      </c>
      <c r="F783" s="8">
        <f t="shared" si="40"/>
        <v>45870</v>
      </c>
      <c r="G783" s="9">
        <f t="shared" ref="G783:G786" si="237">B782</f>
        <v>781</v>
      </c>
      <c r="H783" s="7" t="s">
        <v>23</v>
      </c>
    </row>
    <row r="784" ht="18.75" customHeight="1">
      <c r="A784" s="200"/>
      <c r="B784" s="43">
        <f t="shared" si="2"/>
        <v>783</v>
      </c>
      <c r="C784" s="224" t="s">
        <v>823</v>
      </c>
      <c r="D784" s="110">
        <v>2.0</v>
      </c>
      <c r="E784" s="8">
        <f t="shared" si="236"/>
        <v>45870</v>
      </c>
      <c r="F784" s="8">
        <f t="shared" si="40"/>
        <v>45872</v>
      </c>
      <c r="G784" s="9">
        <f t="shared" si="237"/>
        <v>782</v>
      </c>
      <c r="H784" s="7" t="s">
        <v>23</v>
      </c>
    </row>
    <row r="785" ht="18.75" customHeight="1">
      <c r="A785" s="200"/>
      <c r="B785" s="190">
        <f t="shared" si="2"/>
        <v>784</v>
      </c>
      <c r="C785" s="228" t="s">
        <v>824</v>
      </c>
      <c r="D785" s="229">
        <v>2.0</v>
      </c>
      <c r="E785" s="84">
        <f t="shared" si="236"/>
        <v>45872</v>
      </c>
      <c r="F785" s="84">
        <f t="shared" si="40"/>
        <v>45874</v>
      </c>
      <c r="G785" s="98">
        <f t="shared" si="237"/>
        <v>783</v>
      </c>
      <c r="H785" s="49" t="s">
        <v>49</v>
      </c>
    </row>
    <row r="786" ht="18.75" customHeight="1">
      <c r="A786" s="230" t="s">
        <v>8</v>
      </c>
      <c r="B786" s="231">
        <f t="shared" si="2"/>
        <v>785</v>
      </c>
      <c r="C786" s="232" t="s">
        <v>825</v>
      </c>
      <c r="D786" s="233">
        <v>1.0</v>
      </c>
      <c r="E786" s="59">
        <f t="shared" si="236"/>
        <v>45874</v>
      </c>
      <c r="F786" s="59">
        <f t="shared" si="40"/>
        <v>45875</v>
      </c>
      <c r="G786" s="234">
        <f t="shared" si="237"/>
        <v>784</v>
      </c>
      <c r="H786" s="57" t="s">
        <v>10</v>
      </c>
    </row>
    <row r="787" ht="18.75" customHeight="1">
      <c r="A787" s="128"/>
      <c r="B787" s="43">
        <f t="shared" si="2"/>
        <v>786</v>
      </c>
      <c r="C787" s="39" t="s">
        <v>826</v>
      </c>
      <c r="D787" s="17">
        <v>1.0</v>
      </c>
      <c r="E787" s="8">
        <f t="shared" si="236"/>
        <v>45875</v>
      </c>
      <c r="F787" s="8">
        <f t="shared" si="40"/>
        <v>45876</v>
      </c>
      <c r="G787" s="70">
        <f>B785</f>
        <v>784</v>
      </c>
      <c r="H787" s="7" t="s">
        <v>10</v>
      </c>
    </row>
    <row r="788" ht="18.75" customHeight="1">
      <c r="A788" s="128"/>
      <c r="B788" s="43">
        <f t="shared" si="2"/>
        <v>787</v>
      </c>
      <c r="C788" s="39" t="s">
        <v>827</v>
      </c>
      <c r="D788" s="17">
        <v>1.0</v>
      </c>
      <c r="E788" s="8">
        <f t="shared" si="236"/>
        <v>45876</v>
      </c>
      <c r="F788" s="8">
        <f t="shared" si="40"/>
        <v>45877</v>
      </c>
      <c r="G788" s="70">
        <f>B785</f>
        <v>784</v>
      </c>
      <c r="H788" s="7" t="s">
        <v>10</v>
      </c>
    </row>
    <row r="789" ht="18.75" customHeight="1">
      <c r="A789" s="15" t="s">
        <v>186</v>
      </c>
      <c r="B789" s="43">
        <f t="shared" si="2"/>
        <v>788</v>
      </c>
      <c r="C789" s="67" t="s">
        <v>828</v>
      </c>
      <c r="D789" s="17">
        <v>1.0</v>
      </c>
      <c r="E789" s="8">
        <f>F787</f>
        <v>45876</v>
      </c>
      <c r="F789" s="8">
        <f t="shared" si="40"/>
        <v>45877</v>
      </c>
      <c r="G789" s="70">
        <f>B787</f>
        <v>786</v>
      </c>
      <c r="H789" s="7" t="s">
        <v>10</v>
      </c>
    </row>
    <row r="790" ht="18.75" customHeight="1">
      <c r="A790" s="120"/>
      <c r="B790" s="43">
        <f t="shared" si="2"/>
        <v>789</v>
      </c>
      <c r="C790" s="67" t="s">
        <v>829</v>
      </c>
      <c r="D790" s="7">
        <v>1.0</v>
      </c>
      <c r="E790" s="8">
        <f>F786</f>
        <v>45875</v>
      </c>
      <c r="F790" s="8">
        <f t="shared" si="40"/>
        <v>45876</v>
      </c>
      <c r="G790" s="70">
        <f t="shared" ref="G790:G814" si="238">B789</f>
        <v>788</v>
      </c>
      <c r="H790" s="7" t="s">
        <v>23</v>
      </c>
    </row>
    <row r="791" ht="18.75" customHeight="1">
      <c r="A791" s="120"/>
      <c r="B791" s="43">
        <f t="shared" si="2"/>
        <v>790</v>
      </c>
      <c r="C791" s="67" t="s">
        <v>830</v>
      </c>
      <c r="D791" s="7">
        <v>1.0</v>
      </c>
      <c r="E791" s="8">
        <f t="shared" ref="E791:E814" si="239">F790</f>
        <v>45876</v>
      </c>
      <c r="F791" s="58">
        <f t="shared" si="40"/>
        <v>45877</v>
      </c>
      <c r="G791" s="70">
        <f t="shared" si="238"/>
        <v>789</v>
      </c>
      <c r="H791" s="7" t="s">
        <v>23</v>
      </c>
    </row>
    <row r="792" ht="18.75" customHeight="1">
      <c r="A792" s="120"/>
      <c r="B792" s="43">
        <f t="shared" si="2"/>
        <v>791</v>
      </c>
      <c r="C792" s="67" t="s">
        <v>831</v>
      </c>
      <c r="D792" s="7">
        <v>3.0</v>
      </c>
      <c r="E792" s="8">
        <f t="shared" si="239"/>
        <v>45877</v>
      </c>
      <c r="F792" s="58">
        <f t="shared" si="40"/>
        <v>45880</v>
      </c>
      <c r="G792" s="70">
        <f t="shared" si="238"/>
        <v>790</v>
      </c>
      <c r="H792" s="7" t="s">
        <v>23</v>
      </c>
    </row>
    <row r="793" ht="18.75" customHeight="1">
      <c r="A793" s="120"/>
      <c r="B793" s="43">
        <f t="shared" si="2"/>
        <v>792</v>
      </c>
      <c r="C793" s="67" t="s">
        <v>832</v>
      </c>
      <c r="D793" s="7">
        <v>1.0</v>
      </c>
      <c r="E793" s="8">
        <f t="shared" si="239"/>
        <v>45880</v>
      </c>
      <c r="F793" s="58">
        <f t="shared" si="40"/>
        <v>45881</v>
      </c>
      <c r="G793" s="70">
        <f t="shared" si="238"/>
        <v>791</v>
      </c>
      <c r="H793" s="7" t="s">
        <v>10</v>
      </c>
    </row>
    <row r="794" ht="18.75" customHeight="1">
      <c r="A794" s="120"/>
      <c r="B794" s="43">
        <f t="shared" si="2"/>
        <v>793</v>
      </c>
      <c r="C794" s="67" t="s">
        <v>833</v>
      </c>
      <c r="D794" s="7">
        <v>1.0</v>
      </c>
      <c r="E794" s="8">
        <f t="shared" si="239"/>
        <v>45881</v>
      </c>
      <c r="F794" s="58">
        <f t="shared" si="40"/>
        <v>45882</v>
      </c>
      <c r="G794" s="70">
        <f t="shared" si="238"/>
        <v>792</v>
      </c>
      <c r="H794" s="7" t="s">
        <v>23</v>
      </c>
    </row>
    <row r="795" ht="18.75" customHeight="1">
      <c r="A795" s="121"/>
      <c r="B795" s="43">
        <f t="shared" si="2"/>
        <v>794</v>
      </c>
      <c r="C795" s="67" t="s">
        <v>834</v>
      </c>
      <c r="D795" s="7">
        <v>1.0</v>
      </c>
      <c r="E795" s="8">
        <f t="shared" si="239"/>
        <v>45882</v>
      </c>
      <c r="F795" s="58">
        <f t="shared" si="40"/>
        <v>45883</v>
      </c>
      <c r="G795" s="70">
        <f t="shared" si="238"/>
        <v>793</v>
      </c>
      <c r="H795" s="7" t="s">
        <v>23</v>
      </c>
    </row>
    <row r="796" ht="18.75" customHeight="1">
      <c r="A796" s="121"/>
      <c r="B796" s="43">
        <f t="shared" si="2"/>
        <v>795</v>
      </c>
      <c r="C796" s="20" t="s">
        <v>29</v>
      </c>
      <c r="D796" s="7">
        <v>4.0</v>
      </c>
      <c r="E796" s="8">
        <f t="shared" si="239"/>
        <v>45883</v>
      </c>
      <c r="F796" s="58">
        <f t="shared" si="40"/>
        <v>45887</v>
      </c>
      <c r="G796" s="70">
        <f t="shared" si="238"/>
        <v>794</v>
      </c>
      <c r="H796" s="7" t="s">
        <v>23</v>
      </c>
    </row>
    <row r="797" ht="18.75" customHeight="1">
      <c r="A797" s="121"/>
      <c r="B797" s="43">
        <f t="shared" si="2"/>
        <v>796</v>
      </c>
      <c r="C797" s="67" t="s">
        <v>30</v>
      </c>
      <c r="D797" s="7">
        <v>1.0</v>
      </c>
      <c r="E797" s="8">
        <f t="shared" si="239"/>
        <v>45887</v>
      </c>
      <c r="F797" s="58">
        <f t="shared" si="40"/>
        <v>45888</v>
      </c>
      <c r="G797" s="70">
        <f t="shared" si="238"/>
        <v>795</v>
      </c>
      <c r="H797" s="7" t="s">
        <v>10</v>
      </c>
    </row>
    <row r="798" ht="18.75" customHeight="1">
      <c r="A798" s="121"/>
      <c r="B798" s="43">
        <f t="shared" si="2"/>
        <v>797</v>
      </c>
      <c r="C798" s="67" t="s">
        <v>31</v>
      </c>
      <c r="D798" s="7">
        <v>1.0</v>
      </c>
      <c r="E798" s="8">
        <f t="shared" si="239"/>
        <v>45888</v>
      </c>
      <c r="F798" s="58">
        <f t="shared" si="40"/>
        <v>45889</v>
      </c>
      <c r="G798" s="70">
        <f t="shared" si="238"/>
        <v>796</v>
      </c>
      <c r="H798" s="7" t="s">
        <v>23</v>
      </c>
    </row>
    <row r="799" ht="18.75" customHeight="1">
      <c r="A799" s="121"/>
      <c r="B799" s="43">
        <f t="shared" si="2"/>
        <v>798</v>
      </c>
      <c r="C799" s="67" t="s">
        <v>127</v>
      </c>
      <c r="D799" s="110">
        <v>2.0</v>
      </c>
      <c r="E799" s="8">
        <f t="shared" si="239"/>
        <v>45889</v>
      </c>
      <c r="F799" s="58">
        <f t="shared" si="40"/>
        <v>45891</v>
      </c>
      <c r="G799" s="70">
        <f t="shared" si="238"/>
        <v>797</v>
      </c>
      <c r="H799" s="7" t="s">
        <v>23</v>
      </c>
    </row>
    <row r="800" ht="18.75" customHeight="1">
      <c r="A800" s="121"/>
      <c r="B800" s="43">
        <f t="shared" si="2"/>
        <v>799</v>
      </c>
      <c r="C800" s="67" t="s">
        <v>33</v>
      </c>
      <c r="D800" s="7">
        <v>1.0</v>
      </c>
      <c r="E800" s="8">
        <f t="shared" si="239"/>
        <v>45891</v>
      </c>
      <c r="F800" s="58">
        <f t="shared" si="40"/>
        <v>45892</v>
      </c>
      <c r="G800" s="70">
        <f t="shared" si="238"/>
        <v>798</v>
      </c>
      <c r="H800" s="7" t="s">
        <v>10</v>
      </c>
    </row>
    <row r="801" ht="18.75" customHeight="1">
      <c r="A801" s="121"/>
      <c r="B801" s="43">
        <f t="shared" si="2"/>
        <v>800</v>
      </c>
      <c r="C801" s="67" t="s">
        <v>128</v>
      </c>
      <c r="D801" s="115">
        <v>2.0</v>
      </c>
      <c r="E801" s="8">
        <f t="shared" si="239"/>
        <v>45892</v>
      </c>
      <c r="F801" s="58">
        <f t="shared" si="40"/>
        <v>45894</v>
      </c>
      <c r="G801" s="70">
        <f t="shared" si="238"/>
        <v>799</v>
      </c>
      <c r="H801" s="7" t="s">
        <v>23</v>
      </c>
    </row>
    <row r="802" ht="18.75" customHeight="1">
      <c r="A802" s="122"/>
      <c r="B802" s="5">
        <f t="shared" si="2"/>
        <v>801</v>
      </c>
      <c r="C802" s="20" t="s">
        <v>35</v>
      </c>
      <c r="D802" s="7">
        <v>4.0</v>
      </c>
      <c r="E802" s="8">
        <f t="shared" si="239"/>
        <v>45894</v>
      </c>
      <c r="F802" s="58">
        <f t="shared" si="40"/>
        <v>45898</v>
      </c>
      <c r="G802" s="70">
        <f t="shared" si="238"/>
        <v>800</v>
      </c>
      <c r="H802" s="7" t="s">
        <v>23</v>
      </c>
    </row>
    <row r="803" ht="18.75" customHeight="1">
      <c r="A803" s="121"/>
      <c r="B803" s="43">
        <f t="shared" si="2"/>
        <v>802</v>
      </c>
      <c r="C803" s="67" t="s">
        <v>835</v>
      </c>
      <c r="D803" s="7">
        <v>1.0</v>
      </c>
      <c r="E803" s="8">
        <f t="shared" si="239"/>
        <v>45898</v>
      </c>
      <c r="F803" s="58">
        <f t="shared" si="40"/>
        <v>45899</v>
      </c>
      <c r="G803" s="70">
        <f t="shared" si="238"/>
        <v>801</v>
      </c>
      <c r="H803" s="7" t="s">
        <v>10</v>
      </c>
    </row>
    <row r="804" ht="18.75" customHeight="1">
      <c r="A804" s="122"/>
      <c r="B804" s="5">
        <f t="shared" si="2"/>
        <v>803</v>
      </c>
      <c r="C804" s="67" t="s">
        <v>836</v>
      </c>
      <c r="D804" s="7">
        <v>1.0</v>
      </c>
      <c r="E804" s="8">
        <f t="shared" si="239"/>
        <v>45899</v>
      </c>
      <c r="F804" s="58">
        <f t="shared" si="40"/>
        <v>45900</v>
      </c>
      <c r="G804" s="70">
        <f t="shared" si="238"/>
        <v>802</v>
      </c>
      <c r="H804" s="7" t="s">
        <v>23</v>
      </c>
    </row>
    <row r="805" ht="18.75" customHeight="1">
      <c r="A805" s="123"/>
      <c r="B805" s="47">
        <f t="shared" si="2"/>
        <v>804</v>
      </c>
      <c r="C805" s="67" t="s">
        <v>837</v>
      </c>
      <c r="D805" s="7">
        <v>2.0</v>
      </c>
      <c r="E805" s="8">
        <f t="shared" si="239"/>
        <v>45900</v>
      </c>
      <c r="F805" s="58">
        <f t="shared" si="40"/>
        <v>45902</v>
      </c>
      <c r="G805" s="70">
        <f t="shared" si="238"/>
        <v>803</v>
      </c>
      <c r="H805" s="7" t="s">
        <v>23</v>
      </c>
    </row>
    <row r="806" ht="18.75" customHeight="1">
      <c r="A806" s="25" t="s">
        <v>81</v>
      </c>
      <c r="B806" s="43">
        <f t="shared" si="2"/>
        <v>805</v>
      </c>
      <c r="C806" s="235" t="s">
        <v>838</v>
      </c>
      <c r="D806" s="7">
        <v>1.0</v>
      </c>
      <c r="E806" s="8">
        <f t="shared" si="239"/>
        <v>45902</v>
      </c>
      <c r="F806" s="58">
        <f t="shared" si="40"/>
        <v>45903</v>
      </c>
      <c r="G806" s="70">
        <f t="shared" si="238"/>
        <v>804</v>
      </c>
      <c r="H806" s="7" t="s">
        <v>10</v>
      </c>
    </row>
    <row r="807" ht="18.75" customHeight="1">
      <c r="A807" s="236"/>
      <c r="B807" s="43">
        <f t="shared" si="2"/>
        <v>806</v>
      </c>
      <c r="C807" s="235" t="s">
        <v>839</v>
      </c>
      <c r="D807" s="7">
        <v>1.0</v>
      </c>
      <c r="E807" s="8">
        <f t="shared" si="239"/>
        <v>45903</v>
      </c>
      <c r="F807" s="58">
        <f t="shared" si="40"/>
        <v>45904</v>
      </c>
      <c r="G807" s="70">
        <f t="shared" si="238"/>
        <v>805</v>
      </c>
      <c r="H807" s="7" t="s">
        <v>23</v>
      </c>
    </row>
    <row r="808" ht="18.75" customHeight="1">
      <c r="A808" s="236"/>
      <c r="B808" s="43">
        <f t="shared" si="2"/>
        <v>807</v>
      </c>
      <c r="C808" s="235" t="s">
        <v>840</v>
      </c>
      <c r="D808" s="7">
        <v>3.0</v>
      </c>
      <c r="E808" s="8">
        <f t="shared" si="239"/>
        <v>45904</v>
      </c>
      <c r="F808" s="58">
        <f t="shared" si="40"/>
        <v>45907</v>
      </c>
      <c r="G808" s="70">
        <f t="shared" si="238"/>
        <v>806</v>
      </c>
      <c r="H808" s="7" t="s">
        <v>23</v>
      </c>
    </row>
    <row r="809" ht="18.75" customHeight="1">
      <c r="A809" s="236"/>
      <c r="B809" s="43">
        <f t="shared" si="2"/>
        <v>808</v>
      </c>
      <c r="C809" s="235" t="s">
        <v>841</v>
      </c>
      <c r="D809" s="21">
        <v>1.0</v>
      </c>
      <c r="E809" s="8">
        <f t="shared" si="239"/>
        <v>45907</v>
      </c>
      <c r="F809" s="58">
        <f t="shared" si="40"/>
        <v>45908</v>
      </c>
      <c r="G809" s="70">
        <f t="shared" si="238"/>
        <v>807</v>
      </c>
      <c r="H809" s="7" t="s">
        <v>23</v>
      </c>
    </row>
    <row r="810" ht="18.75" customHeight="1">
      <c r="A810" s="236"/>
      <c r="B810" s="43">
        <f t="shared" si="2"/>
        <v>809</v>
      </c>
      <c r="C810" s="235" t="s">
        <v>842</v>
      </c>
      <c r="D810" s="7">
        <v>2.0</v>
      </c>
      <c r="E810" s="8">
        <f t="shared" si="239"/>
        <v>45908</v>
      </c>
      <c r="F810" s="58">
        <f t="shared" si="40"/>
        <v>45910</v>
      </c>
      <c r="G810" s="70">
        <f t="shared" si="238"/>
        <v>808</v>
      </c>
      <c r="H810" s="7" t="s">
        <v>23</v>
      </c>
    </row>
    <row r="811" ht="18.75" customHeight="1">
      <c r="A811" s="97" t="s">
        <v>206</v>
      </c>
      <c r="B811" s="43">
        <f t="shared" si="2"/>
        <v>810</v>
      </c>
      <c r="C811" s="80" t="s">
        <v>843</v>
      </c>
      <c r="D811" s="17">
        <v>1.0</v>
      </c>
      <c r="E811" s="58">
        <f t="shared" si="239"/>
        <v>45910</v>
      </c>
      <c r="F811" s="58">
        <f t="shared" si="40"/>
        <v>45911</v>
      </c>
      <c r="G811" s="70">
        <f t="shared" si="238"/>
        <v>809</v>
      </c>
      <c r="H811" s="7" t="s">
        <v>10</v>
      </c>
    </row>
    <row r="812" ht="18.75" customHeight="1">
      <c r="A812" s="41" t="s">
        <v>523</v>
      </c>
      <c r="B812" s="43">
        <f t="shared" si="2"/>
        <v>811</v>
      </c>
      <c r="C812" s="80" t="s">
        <v>844</v>
      </c>
      <c r="D812" s="7">
        <v>1.0</v>
      </c>
      <c r="E812" s="58">
        <f t="shared" si="239"/>
        <v>45911</v>
      </c>
      <c r="F812" s="58">
        <f t="shared" si="40"/>
        <v>45912</v>
      </c>
      <c r="G812" s="70">
        <f t="shared" si="238"/>
        <v>810</v>
      </c>
      <c r="H812" s="7" t="s">
        <v>23</v>
      </c>
    </row>
    <row r="813" ht="18.75" customHeight="1">
      <c r="A813" s="41" t="s">
        <v>551</v>
      </c>
      <c r="B813" s="43">
        <f t="shared" si="2"/>
        <v>812</v>
      </c>
      <c r="C813" s="80" t="s">
        <v>845</v>
      </c>
      <c r="D813" s="7">
        <v>2.0</v>
      </c>
      <c r="E813" s="58">
        <f t="shared" si="239"/>
        <v>45912</v>
      </c>
      <c r="F813" s="58">
        <f t="shared" si="40"/>
        <v>45914</v>
      </c>
      <c r="G813" s="70">
        <f t="shared" si="238"/>
        <v>811</v>
      </c>
      <c r="H813" s="7" t="s">
        <v>23</v>
      </c>
    </row>
    <row r="814" ht="18.75" customHeight="1">
      <c r="A814" s="237"/>
      <c r="B814" s="43">
        <f t="shared" si="2"/>
        <v>813</v>
      </c>
      <c r="C814" s="42" t="s">
        <v>846</v>
      </c>
      <c r="D814" s="7">
        <v>1.0</v>
      </c>
      <c r="E814" s="58">
        <f t="shared" si="239"/>
        <v>45914</v>
      </c>
      <c r="F814" s="58">
        <f t="shared" si="40"/>
        <v>45915</v>
      </c>
      <c r="G814" s="70">
        <f t="shared" si="238"/>
        <v>812</v>
      </c>
      <c r="H814" s="7" t="s">
        <v>49</v>
      </c>
    </row>
    <row r="815" ht="18.75" customHeight="1">
      <c r="A815" s="238" t="s">
        <v>206</v>
      </c>
      <c r="B815" s="43">
        <f t="shared" si="2"/>
        <v>814</v>
      </c>
      <c r="C815" s="239" t="s">
        <v>847</v>
      </c>
      <c r="D815" s="17">
        <v>1.0</v>
      </c>
      <c r="E815" s="58">
        <f>F810</f>
        <v>45910</v>
      </c>
      <c r="F815" s="58">
        <f t="shared" si="40"/>
        <v>45911</v>
      </c>
      <c r="G815" s="70">
        <f>B810</f>
        <v>809</v>
      </c>
      <c r="H815" s="7" t="s">
        <v>10</v>
      </c>
    </row>
    <row r="816" ht="18.75" customHeight="1">
      <c r="A816" s="240" t="s">
        <v>551</v>
      </c>
      <c r="B816" s="43">
        <f t="shared" si="2"/>
        <v>815</v>
      </c>
      <c r="C816" s="239" t="s">
        <v>848</v>
      </c>
      <c r="D816" s="7">
        <v>1.0</v>
      </c>
      <c r="E816" s="58">
        <f t="shared" ref="E816:E818" si="240">F815</f>
        <v>45911</v>
      </c>
      <c r="F816" s="58">
        <f t="shared" si="40"/>
        <v>45912</v>
      </c>
      <c r="G816" s="70">
        <f t="shared" ref="G816:G818" si="241">B815</f>
        <v>814</v>
      </c>
      <c r="H816" s="7" t="s">
        <v>23</v>
      </c>
    </row>
    <row r="817" ht="18.75" customHeight="1">
      <c r="A817" s="240" t="s">
        <v>849</v>
      </c>
      <c r="B817" s="43">
        <f t="shared" si="2"/>
        <v>816</v>
      </c>
      <c r="C817" s="239" t="s">
        <v>850</v>
      </c>
      <c r="D817" s="7">
        <v>2.0</v>
      </c>
      <c r="E817" s="58">
        <f t="shared" si="240"/>
        <v>45912</v>
      </c>
      <c r="F817" s="58">
        <f t="shared" si="40"/>
        <v>45914</v>
      </c>
      <c r="G817" s="70">
        <f t="shared" si="241"/>
        <v>815</v>
      </c>
      <c r="H817" s="7" t="s">
        <v>23</v>
      </c>
    </row>
    <row r="818" ht="18.75" customHeight="1">
      <c r="A818" s="241"/>
      <c r="B818" s="43">
        <f t="shared" si="2"/>
        <v>817</v>
      </c>
      <c r="C818" s="242" t="s">
        <v>851</v>
      </c>
      <c r="D818" s="7">
        <v>1.0</v>
      </c>
      <c r="E818" s="58">
        <f t="shared" si="240"/>
        <v>45914</v>
      </c>
      <c r="F818" s="58">
        <f t="shared" si="40"/>
        <v>45915</v>
      </c>
      <c r="G818" s="70">
        <f t="shared" si="241"/>
        <v>816</v>
      </c>
      <c r="H818" s="7" t="s">
        <v>49</v>
      </c>
    </row>
    <row r="819" ht="18.75" customHeight="1">
      <c r="A819" s="97" t="s">
        <v>206</v>
      </c>
      <c r="B819" s="43">
        <f t="shared" si="2"/>
        <v>818</v>
      </c>
      <c r="C819" s="80" t="s">
        <v>852</v>
      </c>
      <c r="D819" s="17">
        <v>1.0</v>
      </c>
      <c r="E819" s="58">
        <f>F810</f>
        <v>45910</v>
      </c>
      <c r="F819" s="58">
        <f t="shared" si="40"/>
        <v>45911</v>
      </c>
      <c r="G819" s="70">
        <f>B810</f>
        <v>809</v>
      </c>
      <c r="H819" s="7" t="s">
        <v>10</v>
      </c>
    </row>
    <row r="820" ht="18.75" customHeight="1">
      <c r="A820" s="41" t="s">
        <v>853</v>
      </c>
      <c r="B820" s="43">
        <f t="shared" si="2"/>
        <v>819</v>
      </c>
      <c r="C820" s="80" t="s">
        <v>854</v>
      </c>
      <c r="D820" s="7">
        <v>1.0</v>
      </c>
      <c r="E820" s="58">
        <f t="shared" ref="E820:E822" si="242">F819</f>
        <v>45911</v>
      </c>
      <c r="F820" s="58">
        <f t="shared" si="40"/>
        <v>45912</v>
      </c>
      <c r="G820" s="70">
        <f t="shared" ref="G820:G822" si="243">B819</f>
        <v>818</v>
      </c>
      <c r="H820" s="7" t="s">
        <v>23</v>
      </c>
    </row>
    <row r="821" ht="18.75" customHeight="1">
      <c r="A821" s="41" t="s">
        <v>551</v>
      </c>
      <c r="B821" s="43">
        <f t="shared" si="2"/>
        <v>820</v>
      </c>
      <c r="C821" s="80" t="s">
        <v>855</v>
      </c>
      <c r="D821" s="7">
        <v>2.0</v>
      </c>
      <c r="E821" s="58">
        <f t="shared" si="242"/>
        <v>45912</v>
      </c>
      <c r="F821" s="58">
        <f t="shared" si="40"/>
        <v>45914</v>
      </c>
      <c r="G821" s="70">
        <f t="shared" si="243"/>
        <v>819</v>
      </c>
      <c r="H821" s="7" t="s">
        <v>23</v>
      </c>
    </row>
    <row r="822" ht="18.75" customHeight="1">
      <c r="A822" s="179"/>
      <c r="B822" s="5">
        <f t="shared" si="2"/>
        <v>821</v>
      </c>
      <c r="C822" s="42" t="s">
        <v>856</v>
      </c>
      <c r="D822" s="7">
        <v>1.0</v>
      </c>
      <c r="E822" s="58">
        <f t="shared" si="242"/>
        <v>45914</v>
      </c>
      <c r="F822" s="58">
        <f t="shared" si="40"/>
        <v>45915</v>
      </c>
      <c r="G822" s="70">
        <f t="shared" si="243"/>
        <v>820</v>
      </c>
      <c r="H822" s="7" t="s">
        <v>49</v>
      </c>
    </row>
    <row r="823" ht="18.75" customHeight="1">
      <c r="A823" s="179"/>
      <c r="B823" s="5">
        <f t="shared" si="2"/>
        <v>822</v>
      </c>
      <c r="C823" s="239" t="s">
        <v>857</v>
      </c>
      <c r="D823" s="17">
        <v>1.0</v>
      </c>
      <c r="E823" s="58">
        <f>F810</f>
        <v>45910</v>
      </c>
      <c r="F823" s="58">
        <f t="shared" si="40"/>
        <v>45911</v>
      </c>
      <c r="G823" s="70">
        <f>B810</f>
        <v>809</v>
      </c>
      <c r="H823" s="7" t="s">
        <v>10</v>
      </c>
    </row>
    <row r="824" ht="18.75" customHeight="1">
      <c r="A824" s="243"/>
      <c r="B824" s="43">
        <f t="shared" si="2"/>
        <v>823</v>
      </c>
      <c r="C824" s="239" t="s">
        <v>858</v>
      </c>
      <c r="D824" s="7">
        <v>1.0</v>
      </c>
      <c r="E824" s="58">
        <f t="shared" ref="E824:E826" si="244">F823</f>
        <v>45911</v>
      </c>
      <c r="F824" s="58">
        <f t="shared" si="40"/>
        <v>45912</v>
      </c>
      <c r="G824" s="70">
        <f t="shared" ref="G824:G826" si="245">B823</f>
        <v>822</v>
      </c>
      <c r="H824" s="7" t="s">
        <v>23</v>
      </c>
    </row>
    <row r="825" ht="18.75" customHeight="1">
      <c r="A825" s="243"/>
      <c r="B825" s="43">
        <f t="shared" si="2"/>
        <v>824</v>
      </c>
      <c r="C825" s="239" t="s">
        <v>859</v>
      </c>
      <c r="D825" s="7">
        <v>2.0</v>
      </c>
      <c r="E825" s="58">
        <f t="shared" si="244"/>
        <v>45912</v>
      </c>
      <c r="F825" s="58">
        <f t="shared" si="40"/>
        <v>45914</v>
      </c>
      <c r="G825" s="70">
        <f t="shared" si="245"/>
        <v>823</v>
      </c>
      <c r="H825" s="7" t="s">
        <v>23</v>
      </c>
    </row>
    <row r="826" ht="18.75" customHeight="1">
      <c r="A826" s="244"/>
      <c r="B826" s="43">
        <f t="shared" si="2"/>
        <v>825</v>
      </c>
      <c r="C826" s="242" t="s">
        <v>860</v>
      </c>
      <c r="D826" s="7">
        <v>1.0</v>
      </c>
      <c r="E826" s="58">
        <f t="shared" si="244"/>
        <v>45914</v>
      </c>
      <c r="F826" s="58">
        <f t="shared" si="40"/>
        <v>45915</v>
      </c>
      <c r="G826" s="70">
        <f t="shared" si="245"/>
        <v>824</v>
      </c>
      <c r="H826" s="7" t="s">
        <v>49</v>
      </c>
    </row>
    <row r="827" ht="18.75" customHeight="1">
      <c r="A827" s="238" t="s">
        <v>206</v>
      </c>
      <c r="B827" s="43">
        <f t="shared" si="2"/>
        <v>826</v>
      </c>
      <c r="C827" s="80" t="s">
        <v>861</v>
      </c>
      <c r="D827" s="17">
        <v>1.0</v>
      </c>
      <c r="E827" s="58">
        <f>F810</f>
        <v>45910</v>
      </c>
      <c r="F827" s="58">
        <f t="shared" si="40"/>
        <v>45911</v>
      </c>
      <c r="G827" s="70">
        <f>B810</f>
        <v>809</v>
      </c>
      <c r="H827" s="7" t="s">
        <v>10</v>
      </c>
    </row>
    <row r="828" ht="18.75" customHeight="1">
      <c r="A828" s="240" t="s">
        <v>862</v>
      </c>
      <c r="B828" s="43">
        <f t="shared" si="2"/>
        <v>827</v>
      </c>
      <c r="C828" s="80" t="s">
        <v>863</v>
      </c>
      <c r="D828" s="7">
        <v>1.0</v>
      </c>
      <c r="E828" s="58">
        <f t="shared" ref="E828:E830" si="246">F827</f>
        <v>45911</v>
      </c>
      <c r="F828" s="58">
        <f t="shared" si="40"/>
        <v>45912</v>
      </c>
      <c r="G828" s="70">
        <f t="shared" ref="G828:G830" si="247">B827</f>
        <v>826</v>
      </c>
      <c r="H828" s="7" t="s">
        <v>23</v>
      </c>
    </row>
    <row r="829" ht="18.75" customHeight="1">
      <c r="A829" s="240" t="s">
        <v>864</v>
      </c>
      <c r="B829" s="5">
        <f t="shared" si="2"/>
        <v>828</v>
      </c>
      <c r="C829" s="80" t="s">
        <v>865</v>
      </c>
      <c r="D829" s="7">
        <v>2.0</v>
      </c>
      <c r="E829" s="58">
        <f t="shared" si="246"/>
        <v>45912</v>
      </c>
      <c r="F829" s="58">
        <f t="shared" si="40"/>
        <v>45914</v>
      </c>
      <c r="G829" s="70">
        <f t="shared" si="247"/>
        <v>827</v>
      </c>
      <c r="H829" s="7" t="s">
        <v>23</v>
      </c>
    </row>
    <row r="830" ht="18.75" customHeight="1">
      <c r="A830" s="240" t="s">
        <v>551</v>
      </c>
      <c r="B830" s="5">
        <f t="shared" si="2"/>
        <v>829</v>
      </c>
      <c r="C830" s="42" t="s">
        <v>866</v>
      </c>
      <c r="D830" s="7">
        <v>1.0</v>
      </c>
      <c r="E830" s="58">
        <f t="shared" si="246"/>
        <v>45914</v>
      </c>
      <c r="F830" s="58">
        <f t="shared" si="40"/>
        <v>45915</v>
      </c>
      <c r="G830" s="70">
        <f t="shared" si="247"/>
        <v>828</v>
      </c>
      <c r="H830" s="7" t="s">
        <v>49</v>
      </c>
    </row>
    <row r="831" ht="18.75" customHeight="1">
      <c r="A831" s="245"/>
      <c r="B831" s="5">
        <f t="shared" si="2"/>
        <v>830</v>
      </c>
      <c r="C831" s="239" t="s">
        <v>867</v>
      </c>
      <c r="D831" s="17">
        <v>1.0</v>
      </c>
      <c r="E831" s="58">
        <f>F810</f>
        <v>45910</v>
      </c>
      <c r="F831" s="58">
        <f t="shared" si="40"/>
        <v>45911</v>
      </c>
      <c r="G831" s="70">
        <f>B810</f>
        <v>809</v>
      </c>
      <c r="H831" s="7" t="s">
        <v>10</v>
      </c>
    </row>
    <row r="832" ht="18.75" customHeight="1">
      <c r="A832" s="246"/>
      <c r="B832" s="43">
        <f t="shared" si="2"/>
        <v>831</v>
      </c>
      <c r="C832" s="239" t="s">
        <v>868</v>
      </c>
      <c r="D832" s="7">
        <v>1.0</v>
      </c>
      <c r="E832" s="58">
        <f t="shared" ref="E832:E834" si="248">F831</f>
        <v>45911</v>
      </c>
      <c r="F832" s="58">
        <f t="shared" si="40"/>
        <v>45912</v>
      </c>
      <c r="G832" s="70">
        <f t="shared" ref="G832:G834" si="249">B831</f>
        <v>830</v>
      </c>
      <c r="H832" s="7" t="s">
        <v>23</v>
      </c>
    </row>
    <row r="833" ht="18.75" customHeight="1">
      <c r="A833" s="246"/>
      <c r="B833" s="43">
        <f t="shared" si="2"/>
        <v>832</v>
      </c>
      <c r="C833" s="239" t="s">
        <v>869</v>
      </c>
      <c r="D833" s="7">
        <v>2.0</v>
      </c>
      <c r="E833" s="58">
        <f t="shared" si="248"/>
        <v>45912</v>
      </c>
      <c r="F833" s="58">
        <f t="shared" si="40"/>
        <v>45914</v>
      </c>
      <c r="G833" s="70">
        <f t="shared" si="249"/>
        <v>831</v>
      </c>
      <c r="H833" s="7" t="s">
        <v>23</v>
      </c>
    </row>
    <row r="834" ht="18.75" customHeight="1">
      <c r="A834" s="247"/>
      <c r="B834" s="43">
        <f t="shared" si="2"/>
        <v>833</v>
      </c>
      <c r="C834" s="242" t="s">
        <v>870</v>
      </c>
      <c r="D834" s="7">
        <v>1.0</v>
      </c>
      <c r="E834" s="58">
        <f t="shared" si="248"/>
        <v>45914</v>
      </c>
      <c r="F834" s="58">
        <f t="shared" si="40"/>
        <v>45915</v>
      </c>
      <c r="G834" s="70">
        <f t="shared" si="249"/>
        <v>832</v>
      </c>
      <c r="H834" s="7" t="s">
        <v>49</v>
      </c>
    </row>
    <row r="835" ht="18.75" customHeight="1">
      <c r="A835" s="97" t="s">
        <v>206</v>
      </c>
      <c r="B835" s="43">
        <f t="shared" si="2"/>
        <v>834</v>
      </c>
      <c r="C835" s="80" t="s">
        <v>871</v>
      </c>
      <c r="D835" s="17">
        <v>1.0</v>
      </c>
      <c r="E835" s="58">
        <f>F810</f>
        <v>45910</v>
      </c>
      <c r="F835" s="58">
        <f t="shared" si="40"/>
        <v>45911</v>
      </c>
      <c r="G835" s="70">
        <f>B810</f>
        <v>809</v>
      </c>
      <c r="H835" s="7" t="s">
        <v>10</v>
      </c>
    </row>
    <row r="836" ht="18.75" customHeight="1">
      <c r="A836" s="41" t="s">
        <v>872</v>
      </c>
      <c r="B836" s="43">
        <f t="shared" si="2"/>
        <v>835</v>
      </c>
      <c r="C836" s="80" t="s">
        <v>873</v>
      </c>
      <c r="D836" s="7">
        <v>1.0</v>
      </c>
      <c r="E836" s="58">
        <f t="shared" ref="E836:E838" si="250">F835</f>
        <v>45911</v>
      </c>
      <c r="F836" s="58">
        <f t="shared" si="40"/>
        <v>45912</v>
      </c>
      <c r="G836" s="70">
        <f t="shared" ref="G836:G838" si="251">B835</f>
        <v>834</v>
      </c>
      <c r="H836" s="7" t="s">
        <v>23</v>
      </c>
    </row>
    <row r="837" ht="18.75" customHeight="1">
      <c r="A837" s="41" t="s">
        <v>551</v>
      </c>
      <c r="B837" s="43">
        <f t="shared" si="2"/>
        <v>836</v>
      </c>
      <c r="C837" s="80" t="s">
        <v>874</v>
      </c>
      <c r="D837" s="7">
        <v>2.0</v>
      </c>
      <c r="E837" s="58">
        <f t="shared" si="250"/>
        <v>45912</v>
      </c>
      <c r="F837" s="58">
        <f t="shared" si="40"/>
        <v>45914</v>
      </c>
      <c r="G837" s="70">
        <f t="shared" si="251"/>
        <v>835</v>
      </c>
      <c r="H837" s="7" t="s">
        <v>23</v>
      </c>
    </row>
    <row r="838" ht="18.75" customHeight="1">
      <c r="A838" s="179"/>
      <c r="B838" s="5">
        <f t="shared" si="2"/>
        <v>837</v>
      </c>
      <c r="C838" s="42" t="s">
        <v>875</v>
      </c>
      <c r="D838" s="7">
        <v>1.0</v>
      </c>
      <c r="E838" s="58">
        <f t="shared" si="250"/>
        <v>45914</v>
      </c>
      <c r="F838" s="58">
        <f t="shared" si="40"/>
        <v>45915</v>
      </c>
      <c r="G838" s="70">
        <f t="shared" si="251"/>
        <v>836</v>
      </c>
      <c r="H838" s="7" t="s">
        <v>49</v>
      </c>
    </row>
    <row r="839" ht="18.75" customHeight="1">
      <c r="A839" s="179"/>
      <c r="B839" s="5">
        <f t="shared" si="2"/>
        <v>838</v>
      </c>
      <c r="C839" s="239" t="s">
        <v>876</v>
      </c>
      <c r="D839" s="17">
        <v>1.0</v>
      </c>
      <c r="E839" s="58">
        <f>F810</f>
        <v>45910</v>
      </c>
      <c r="F839" s="58">
        <f t="shared" si="40"/>
        <v>45911</v>
      </c>
      <c r="G839" s="70">
        <f>B810</f>
        <v>809</v>
      </c>
      <c r="H839" s="7" t="s">
        <v>10</v>
      </c>
    </row>
    <row r="840" ht="18.75" customHeight="1">
      <c r="A840" s="243"/>
      <c r="B840" s="43">
        <f t="shared" si="2"/>
        <v>839</v>
      </c>
      <c r="C840" s="239" t="s">
        <v>877</v>
      </c>
      <c r="D840" s="7">
        <v>1.0</v>
      </c>
      <c r="E840" s="58">
        <f t="shared" ref="E840:E842" si="252">F839</f>
        <v>45911</v>
      </c>
      <c r="F840" s="58">
        <f t="shared" si="40"/>
        <v>45912</v>
      </c>
      <c r="G840" s="70">
        <f t="shared" ref="G840:G842" si="253">B839</f>
        <v>838</v>
      </c>
      <c r="H840" s="7" t="s">
        <v>23</v>
      </c>
    </row>
    <row r="841" ht="18.75" customHeight="1">
      <c r="A841" s="243"/>
      <c r="B841" s="43">
        <f t="shared" si="2"/>
        <v>840</v>
      </c>
      <c r="C841" s="239" t="s">
        <v>878</v>
      </c>
      <c r="D841" s="7">
        <v>2.0</v>
      </c>
      <c r="E841" s="58">
        <f t="shared" si="252"/>
        <v>45912</v>
      </c>
      <c r="F841" s="58">
        <f t="shared" si="40"/>
        <v>45914</v>
      </c>
      <c r="G841" s="70">
        <f t="shared" si="253"/>
        <v>839</v>
      </c>
      <c r="H841" s="7" t="s">
        <v>23</v>
      </c>
    </row>
    <row r="842" ht="18.75" customHeight="1">
      <c r="A842" s="244"/>
      <c r="B842" s="43">
        <f t="shared" si="2"/>
        <v>841</v>
      </c>
      <c r="C842" s="242" t="s">
        <v>879</v>
      </c>
      <c r="D842" s="7">
        <v>1.0</v>
      </c>
      <c r="E842" s="58">
        <f t="shared" si="252"/>
        <v>45914</v>
      </c>
      <c r="F842" s="58">
        <f t="shared" si="40"/>
        <v>45915</v>
      </c>
      <c r="G842" s="70">
        <f t="shared" si="253"/>
        <v>840</v>
      </c>
      <c r="H842" s="7" t="s">
        <v>49</v>
      </c>
    </row>
    <row r="843" ht="18.75" customHeight="1">
      <c r="A843" s="238" t="s">
        <v>206</v>
      </c>
      <c r="B843" s="43">
        <f t="shared" si="2"/>
        <v>842</v>
      </c>
      <c r="C843" s="80" t="s">
        <v>880</v>
      </c>
      <c r="D843" s="17">
        <v>1.0</v>
      </c>
      <c r="E843" s="58">
        <f>F810</f>
        <v>45910</v>
      </c>
      <c r="F843" s="58">
        <f t="shared" si="40"/>
        <v>45911</v>
      </c>
      <c r="G843" s="70">
        <f>B810</f>
        <v>809</v>
      </c>
      <c r="H843" s="7" t="s">
        <v>10</v>
      </c>
    </row>
    <row r="844" ht="18.75" customHeight="1">
      <c r="A844" s="240" t="s">
        <v>353</v>
      </c>
      <c r="B844" s="43">
        <f t="shared" si="2"/>
        <v>843</v>
      </c>
      <c r="C844" s="80" t="s">
        <v>881</v>
      </c>
      <c r="D844" s="7">
        <v>1.0</v>
      </c>
      <c r="E844" s="58">
        <f t="shared" ref="E844:E846" si="254">F843</f>
        <v>45911</v>
      </c>
      <c r="F844" s="58">
        <f t="shared" si="40"/>
        <v>45912</v>
      </c>
      <c r="G844" s="70">
        <f t="shared" ref="G844:G846" si="255">B843</f>
        <v>842</v>
      </c>
      <c r="H844" s="7" t="s">
        <v>23</v>
      </c>
    </row>
    <row r="845" ht="18.75" customHeight="1">
      <c r="A845" s="240" t="s">
        <v>551</v>
      </c>
      <c r="B845" s="43">
        <f t="shared" si="2"/>
        <v>844</v>
      </c>
      <c r="C845" s="80" t="s">
        <v>882</v>
      </c>
      <c r="D845" s="7">
        <v>2.0</v>
      </c>
      <c r="E845" s="58">
        <f t="shared" si="254"/>
        <v>45912</v>
      </c>
      <c r="F845" s="58">
        <f t="shared" si="40"/>
        <v>45914</v>
      </c>
      <c r="G845" s="70">
        <f t="shared" si="255"/>
        <v>843</v>
      </c>
      <c r="H845" s="7" t="s">
        <v>23</v>
      </c>
    </row>
    <row r="846" ht="18.75" customHeight="1">
      <c r="A846" s="245"/>
      <c r="B846" s="5">
        <f t="shared" si="2"/>
        <v>845</v>
      </c>
      <c r="C846" s="42" t="s">
        <v>883</v>
      </c>
      <c r="D846" s="7">
        <v>1.0</v>
      </c>
      <c r="E846" s="58">
        <f t="shared" si="254"/>
        <v>45914</v>
      </c>
      <c r="F846" s="58">
        <f t="shared" si="40"/>
        <v>45915</v>
      </c>
      <c r="G846" s="70">
        <f t="shared" si="255"/>
        <v>844</v>
      </c>
      <c r="H846" s="7" t="s">
        <v>49</v>
      </c>
    </row>
    <row r="847" ht="18.75" customHeight="1">
      <c r="A847" s="245"/>
      <c r="B847" s="5">
        <f t="shared" si="2"/>
        <v>846</v>
      </c>
      <c r="C847" s="239" t="s">
        <v>884</v>
      </c>
      <c r="D847" s="17">
        <v>1.0</v>
      </c>
      <c r="E847" s="58">
        <f>F810</f>
        <v>45910</v>
      </c>
      <c r="F847" s="58">
        <f t="shared" si="40"/>
        <v>45911</v>
      </c>
      <c r="G847" s="70">
        <f>B810</f>
        <v>809</v>
      </c>
      <c r="H847" s="7" t="s">
        <v>10</v>
      </c>
    </row>
    <row r="848" ht="18.75" customHeight="1">
      <c r="A848" s="246"/>
      <c r="B848" s="43">
        <f t="shared" si="2"/>
        <v>847</v>
      </c>
      <c r="C848" s="239" t="s">
        <v>885</v>
      </c>
      <c r="D848" s="7">
        <v>1.0</v>
      </c>
      <c r="E848" s="58">
        <f t="shared" ref="E848:E850" si="256">F847</f>
        <v>45911</v>
      </c>
      <c r="F848" s="58">
        <f t="shared" si="40"/>
        <v>45912</v>
      </c>
      <c r="G848" s="70">
        <f t="shared" ref="G848:G850" si="257">B847</f>
        <v>846</v>
      </c>
      <c r="H848" s="7" t="s">
        <v>23</v>
      </c>
    </row>
    <row r="849" ht="18.75" customHeight="1">
      <c r="A849" s="246"/>
      <c r="B849" s="43">
        <f t="shared" si="2"/>
        <v>848</v>
      </c>
      <c r="C849" s="239" t="s">
        <v>886</v>
      </c>
      <c r="D849" s="7">
        <v>2.0</v>
      </c>
      <c r="E849" s="58">
        <f t="shared" si="256"/>
        <v>45912</v>
      </c>
      <c r="F849" s="58">
        <f t="shared" si="40"/>
        <v>45914</v>
      </c>
      <c r="G849" s="70">
        <f t="shared" si="257"/>
        <v>847</v>
      </c>
      <c r="H849" s="7" t="s">
        <v>23</v>
      </c>
    </row>
    <row r="850" ht="18.75" customHeight="1">
      <c r="A850" s="247"/>
      <c r="B850" s="43">
        <f t="shared" si="2"/>
        <v>849</v>
      </c>
      <c r="C850" s="242" t="s">
        <v>887</v>
      </c>
      <c r="D850" s="7">
        <v>1.0</v>
      </c>
      <c r="E850" s="58">
        <f t="shared" si="256"/>
        <v>45914</v>
      </c>
      <c r="F850" s="58">
        <f t="shared" si="40"/>
        <v>45915</v>
      </c>
      <c r="G850" s="70">
        <f t="shared" si="257"/>
        <v>848</v>
      </c>
      <c r="H850" s="7" t="s">
        <v>49</v>
      </c>
    </row>
    <row r="851" ht="18.75" customHeight="1">
      <c r="A851" s="97" t="s">
        <v>206</v>
      </c>
      <c r="B851" s="43">
        <f t="shared" si="2"/>
        <v>850</v>
      </c>
      <c r="C851" s="80" t="s">
        <v>888</v>
      </c>
      <c r="D851" s="17">
        <v>1.0</v>
      </c>
      <c r="E851" s="58">
        <f>F810</f>
        <v>45910</v>
      </c>
      <c r="F851" s="58">
        <f t="shared" si="40"/>
        <v>45911</v>
      </c>
      <c r="G851" s="70">
        <f>B810</f>
        <v>809</v>
      </c>
      <c r="H851" s="7" t="s">
        <v>10</v>
      </c>
    </row>
    <row r="852" ht="18.75" customHeight="1">
      <c r="A852" s="41" t="s">
        <v>363</v>
      </c>
      <c r="B852" s="43">
        <f t="shared" si="2"/>
        <v>851</v>
      </c>
      <c r="C852" s="80" t="s">
        <v>889</v>
      </c>
      <c r="D852" s="7">
        <v>1.0</v>
      </c>
      <c r="E852" s="58">
        <f t="shared" ref="E852:E854" si="258">F851</f>
        <v>45911</v>
      </c>
      <c r="F852" s="58">
        <f t="shared" si="40"/>
        <v>45912</v>
      </c>
      <c r="G852" s="70">
        <f t="shared" ref="G852:G854" si="259">B851</f>
        <v>850</v>
      </c>
      <c r="H852" s="7" t="s">
        <v>23</v>
      </c>
    </row>
    <row r="853" ht="18.75" customHeight="1">
      <c r="A853" s="41" t="s">
        <v>551</v>
      </c>
      <c r="B853" s="43">
        <f t="shared" si="2"/>
        <v>852</v>
      </c>
      <c r="C853" s="80" t="s">
        <v>890</v>
      </c>
      <c r="D853" s="7">
        <v>2.0</v>
      </c>
      <c r="E853" s="58">
        <f t="shared" si="258"/>
        <v>45912</v>
      </c>
      <c r="F853" s="58">
        <f t="shared" si="40"/>
        <v>45914</v>
      </c>
      <c r="G853" s="70">
        <f t="shared" si="259"/>
        <v>851</v>
      </c>
      <c r="H853" s="7" t="s">
        <v>23</v>
      </c>
    </row>
    <row r="854" ht="18.75" customHeight="1">
      <c r="A854" s="179"/>
      <c r="B854" s="5">
        <f t="shared" si="2"/>
        <v>853</v>
      </c>
      <c r="C854" s="42" t="s">
        <v>891</v>
      </c>
      <c r="D854" s="7">
        <v>1.0</v>
      </c>
      <c r="E854" s="58">
        <f t="shared" si="258"/>
        <v>45914</v>
      </c>
      <c r="F854" s="58">
        <f t="shared" si="40"/>
        <v>45915</v>
      </c>
      <c r="G854" s="70">
        <f t="shared" si="259"/>
        <v>852</v>
      </c>
      <c r="H854" s="7" t="s">
        <v>49</v>
      </c>
    </row>
    <row r="855" ht="18.75" customHeight="1">
      <c r="A855" s="179"/>
      <c r="B855" s="5">
        <f t="shared" si="2"/>
        <v>854</v>
      </c>
      <c r="C855" s="239" t="s">
        <v>892</v>
      </c>
      <c r="D855" s="17">
        <v>1.0</v>
      </c>
      <c r="E855" s="58">
        <f>F810</f>
        <v>45910</v>
      </c>
      <c r="F855" s="58">
        <f t="shared" si="40"/>
        <v>45911</v>
      </c>
      <c r="G855" s="70">
        <f>B810</f>
        <v>809</v>
      </c>
      <c r="H855" s="7" t="s">
        <v>10</v>
      </c>
    </row>
    <row r="856" ht="18.75" customHeight="1">
      <c r="A856" s="243"/>
      <c r="B856" s="43">
        <f t="shared" si="2"/>
        <v>855</v>
      </c>
      <c r="C856" s="239" t="s">
        <v>893</v>
      </c>
      <c r="D856" s="7">
        <v>1.0</v>
      </c>
      <c r="E856" s="58">
        <f t="shared" ref="E856:E858" si="260">F855</f>
        <v>45911</v>
      </c>
      <c r="F856" s="58">
        <f t="shared" si="40"/>
        <v>45912</v>
      </c>
      <c r="G856" s="70">
        <f t="shared" ref="G856:G858" si="261">B855</f>
        <v>854</v>
      </c>
      <c r="H856" s="7" t="s">
        <v>23</v>
      </c>
    </row>
    <row r="857" ht="18.75" customHeight="1">
      <c r="A857" s="243"/>
      <c r="B857" s="43">
        <f t="shared" si="2"/>
        <v>856</v>
      </c>
      <c r="C857" s="239" t="s">
        <v>894</v>
      </c>
      <c r="D857" s="7">
        <v>2.0</v>
      </c>
      <c r="E857" s="58">
        <f t="shared" si="260"/>
        <v>45912</v>
      </c>
      <c r="F857" s="58">
        <f t="shared" si="40"/>
        <v>45914</v>
      </c>
      <c r="G857" s="70">
        <f t="shared" si="261"/>
        <v>855</v>
      </c>
      <c r="H857" s="7" t="s">
        <v>23</v>
      </c>
    </row>
    <row r="858" ht="18.75" customHeight="1">
      <c r="A858" s="244"/>
      <c r="B858" s="43">
        <f t="shared" si="2"/>
        <v>857</v>
      </c>
      <c r="C858" s="242" t="s">
        <v>895</v>
      </c>
      <c r="D858" s="7">
        <v>1.0</v>
      </c>
      <c r="E858" s="58">
        <f t="shared" si="260"/>
        <v>45914</v>
      </c>
      <c r="F858" s="58">
        <f t="shared" si="40"/>
        <v>45915</v>
      </c>
      <c r="G858" s="70">
        <f t="shared" si="261"/>
        <v>856</v>
      </c>
      <c r="H858" s="7" t="s">
        <v>49</v>
      </c>
    </row>
    <row r="859" ht="18.75" customHeight="1">
      <c r="A859" s="238" t="s">
        <v>206</v>
      </c>
      <c r="B859" s="43">
        <f t="shared" si="2"/>
        <v>858</v>
      </c>
      <c r="C859" s="80" t="s">
        <v>896</v>
      </c>
      <c r="D859" s="17">
        <v>1.0</v>
      </c>
      <c r="E859" s="58">
        <f>F810</f>
        <v>45910</v>
      </c>
      <c r="F859" s="58">
        <f t="shared" si="40"/>
        <v>45911</v>
      </c>
      <c r="G859" s="70">
        <f>B810</f>
        <v>809</v>
      </c>
      <c r="H859" s="7" t="s">
        <v>10</v>
      </c>
    </row>
    <row r="860" ht="18.75" customHeight="1">
      <c r="A860" s="240" t="s">
        <v>373</v>
      </c>
      <c r="B860" s="43">
        <f t="shared" si="2"/>
        <v>859</v>
      </c>
      <c r="C860" s="80" t="s">
        <v>897</v>
      </c>
      <c r="D860" s="7">
        <v>1.0</v>
      </c>
      <c r="E860" s="58">
        <f t="shared" ref="E860:E862" si="262">F859</f>
        <v>45911</v>
      </c>
      <c r="F860" s="58">
        <f t="shared" si="40"/>
        <v>45912</v>
      </c>
      <c r="G860" s="70">
        <f t="shared" ref="G860:G862" si="263">B859</f>
        <v>858</v>
      </c>
      <c r="H860" s="7" t="s">
        <v>23</v>
      </c>
    </row>
    <row r="861" ht="18.75" customHeight="1">
      <c r="A861" s="240" t="s">
        <v>375</v>
      </c>
      <c r="B861" s="43">
        <f t="shared" si="2"/>
        <v>860</v>
      </c>
      <c r="C861" s="80" t="s">
        <v>898</v>
      </c>
      <c r="D861" s="7">
        <v>2.0</v>
      </c>
      <c r="E861" s="58">
        <f t="shared" si="262"/>
        <v>45912</v>
      </c>
      <c r="F861" s="58">
        <f t="shared" si="40"/>
        <v>45914</v>
      </c>
      <c r="G861" s="70">
        <f t="shared" si="263"/>
        <v>859</v>
      </c>
      <c r="H861" s="7" t="s">
        <v>23</v>
      </c>
    </row>
    <row r="862" ht="18.75" customHeight="1">
      <c r="A862" s="240" t="s">
        <v>551</v>
      </c>
      <c r="B862" s="5">
        <f t="shared" si="2"/>
        <v>861</v>
      </c>
      <c r="C862" s="42" t="s">
        <v>899</v>
      </c>
      <c r="D862" s="7">
        <v>1.0</v>
      </c>
      <c r="E862" s="58">
        <f t="shared" si="262"/>
        <v>45914</v>
      </c>
      <c r="F862" s="58">
        <f t="shared" si="40"/>
        <v>45915</v>
      </c>
      <c r="G862" s="70">
        <f t="shared" si="263"/>
        <v>860</v>
      </c>
      <c r="H862" s="7" t="s">
        <v>49</v>
      </c>
    </row>
    <row r="863" ht="18.75" customHeight="1">
      <c r="A863" s="245"/>
      <c r="B863" s="5">
        <f t="shared" si="2"/>
        <v>862</v>
      </c>
      <c r="C863" s="239" t="s">
        <v>900</v>
      </c>
      <c r="D863" s="17">
        <v>1.0</v>
      </c>
      <c r="E863" s="58">
        <f>F810</f>
        <v>45910</v>
      </c>
      <c r="F863" s="58">
        <f t="shared" si="40"/>
        <v>45911</v>
      </c>
      <c r="G863" s="70">
        <f>B810</f>
        <v>809</v>
      </c>
      <c r="H863" s="7" t="s">
        <v>10</v>
      </c>
    </row>
    <row r="864" ht="18.75" customHeight="1">
      <c r="A864" s="246"/>
      <c r="B864" s="43">
        <f t="shared" si="2"/>
        <v>863</v>
      </c>
      <c r="C864" s="239" t="s">
        <v>901</v>
      </c>
      <c r="D864" s="7">
        <v>1.0</v>
      </c>
      <c r="E864" s="58">
        <f t="shared" ref="E864:E866" si="264">F863</f>
        <v>45911</v>
      </c>
      <c r="F864" s="58">
        <f t="shared" si="40"/>
        <v>45912</v>
      </c>
      <c r="G864" s="70">
        <f t="shared" ref="G864:G866" si="265">B863</f>
        <v>862</v>
      </c>
      <c r="H864" s="7" t="s">
        <v>23</v>
      </c>
    </row>
    <row r="865" ht="18.75" customHeight="1">
      <c r="A865" s="246"/>
      <c r="B865" s="43">
        <f t="shared" si="2"/>
        <v>864</v>
      </c>
      <c r="C865" s="239" t="s">
        <v>902</v>
      </c>
      <c r="D865" s="7">
        <v>2.0</v>
      </c>
      <c r="E865" s="58">
        <f t="shared" si="264"/>
        <v>45912</v>
      </c>
      <c r="F865" s="58">
        <f t="shared" si="40"/>
        <v>45914</v>
      </c>
      <c r="G865" s="70">
        <f t="shared" si="265"/>
        <v>863</v>
      </c>
      <c r="H865" s="7" t="s">
        <v>23</v>
      </c>
    </row>
    <row r="866" ht="18.75" customHeight="1">
      <c r="A866" s="247"/>
      <c r="B866" s="43">
        <f t="shared" si="2"/>
        <v>865</v>
      </c>
      <c r="C866" s="242" t="s">
        <v>903</v>
      </c>
      <c r="D866" s="7">
        <v>1.0</v>
      </c>
      <c r="E866" s="58">
        <f t="shared" si="264"/>
        <v>45914</v>
      </c>
      <c r="F866" s="58">
        <f t="shared" si="40"/>
        <v>45915</v>
      </c>
      <c r="G866" s="70">
        <f t="shared" si="265"/>
        <v>864</v>
      </c>
      <c r="H866" s="7" t="s">
        <v>49</v>
      </c>
    </row>
    <row r="867" ht="18.75" customHeight="1">
      <c r="A867" s="97" t="s">
        <v>206</v>
      </c>
      <c r="B867" s="43">
        <f t="shared" si="2"/>
        <v>866</v>
      </c>
      <c r="C867" s="80" t="s">
        <v>904</v>
      </c>
      <c r="D867" s="17">
        <v>1.0</v>
      </c>
      <c r="E867" s="58">
        <f>F810</f>
        <v>45910</v>
      </c>
      <c r="F867" s="58">
        <f t="shared" si="40"/>
        <v>45911</v>
      </c>
      <c r="G867" s="70">
        <f>B810</f>
        <v>809</v>
      </c>
      <c r="H867" s="7" t="s">
        <v>10</v>
      </c>
    </row>
    <row r="868" ht="18.75" customHeight="1">
      <c r="A868" s="41" t="s">
        <v>373</v>
      </c>
      <c r="B868" s="43">
        <f t="shared" si="2"/>
        <v>867</v>
      </c>
      <c r="C868" s="80" t="s">
        <v>905</v>
      </c>
      <c r="D868" s="7">
        <v>1.0</v>
      </c>
      <c r="E868" s="58">
        <f t="shared" ref="E868:E870" si="266">F867</f>
        <v>45911</v>
      </c>
      <c r="F868" s="58">
        <f t="shared" si="40"/>
        <v>45912</v>
      </c>
      <c r="G868" s="70">
        <f t="shared" ref="G868:G870" si="267">B867</f>
        <v>866</v>
      </c>
      <c r="H868" s="7" t="s">
        <v>23</v>
      </c>
    </row>
    <row r="869" ht="18.75" customHeight="1">
      <c r="A869" s="41" t="s">
        <v>396</v>
      </c>
      <c r="B869" s="43">
        <f t="shared" si="2"/>
        <v>868</v>
      </c>
      <c r="C869" s="80" t="s">
        <v>906</v>
      </c>
      <c r="D869" s="7">
        <v>2.0</v>
      </c>
      <c r="E869" s="58">
        <f t="shared" si="266"/>
        <v>45912</v>
      </c>
      <c r="F869" s="58">
        <f t="shared" si="40"/>
        <v>45914</v>
      </c>
      <c r="G869" s="70">
        <f t="shared" si="267"/>
        <v>867</v>
      </c>
      <c r="H869" s="7" t="s">
        <v>23</v>
      </c>
    </row>
    <row r="870" ht="18.75" customHeight="1">
      <c r="A870" s="41" t="s">
        <v>551</v>
      </c>
      <c r="B870" s="5">
        <f t="shared" si="2"/>
        <v>869</v>
      </c>
      <c r="C870" s="42" t="s">
        <v>907</v>
      </c>
      <c r="D870" s="7">
        <v>1.0</v>
      </c>
      <c r="E870" s="58">
        <f t="shared" si="266"/>
        <v>45914</v>
      </c>
      <c r="F870" s="58">
        <f t="shared" si="40"/>
        <v>45915</v>
      </c>
      <c r="G870" s="70">
        <f t="shared" si="267"/>
        <v>868</v>
      </c>
      <c r="H870" s="7" t="s">
        <v>49</v>
      </c>
    </row>
    <row r="871" ht="18.75" customHeight="1">
      <c r="A871" s="179"/>
      <c r="B871" s="5">
        <f t="shared" si="2"/>
        <v>870</v>
      </c>
      <c r="C871" s="239" t="s">
        <v>908</v>
      </c>
      <c r="D871" s="17">
        <v>1.0</v>
      </c>
      <c r="E871" s="58">
        <f>F810</f>
        <v>45910</v>
      </c>
      <c r="F871" s="58">
        <f t="shared" si="40"/>
        <v>45911</v>
      </c>
      <c r="G871" s="70">
        <f>B810</f>
        <v>809</v>
      </c>
      <c r="H871" s="7" t="s">
        <v>10</v>
      </c>
    </row>
    <row r="872" ht="18.75" customHeight="1">
      <c r="A872" s="243"/>
      <c r="B872" s="43">
        <f t="shared" si="2"/>
        <v>871</v>
      </c>
      <c r="C872" s="239" t="s">
        <v>909</v>
      </c>
      <c r="D872" s="7">
        <v>1.0</v>
      </c>
      <c r="E872" s="58">
        <f t="shared" ref="E872:E874" si="268">F871</f>
        <v>45911</v>
      </c>
      <c r="F872" s="58">
        <f t="shared" si="40"/>
        <v>45912</v>
      </c>
      <c r="G872" s="70">
        <f t="shared" ref="G872:G874" si="269">B871</f>
        <v>870</v>
      </c>
      <c r="H872" s="7" t="s">
        <v>23</v>
      </c>
    </row>
    <row r="873" ht="18.75" customHeight="1">
      <c r="A873" s="243"/>
      <c r="B873" s="43">
        <f t="shared" si="2"/>
        <v>872</v>
      </c>
      <c r="C873" s="239" t="s">
        <v>910</v>
      </c>
      <c r="D873" s="7">
        <v>2.0</v>
      </c>
      <c r="E873" s="58">
        <f t="shared" si="268"/>
        <v>45912</v>
      </c>
      <c r="F873" s="58">
        <f t="shared" si="40"/>
        <v>45914</v>
      </c>
      <c r="G873" s="70">
        <f t="shared" si="269"/>
        <v>871</v>
      </c>
      <c r="H873" s="7" t="s">
        <v>23</v>
      </c>
    </row>
    <row r="874" ht="18.75" customHeight="1">
      <c r="A874" s="244"/>
      <c r="B874" s="43">
        <f t="shared" si="2"/>
        <v>873</v>
      </c>
      <c r="C874" s="242" t="s">
        <v>911</v>
      </c>
      <c r="D874" s="7">
        <v>1.0</v>
      </c>
      <c r="E874" s="58">
        <f t="shared" si="268"/>
        <v>45914</v>
      </c>
      <c r="F874" s="58">
        <f t="shared" si="40"/>
        <v>45915</v>
      </c>
      <c r="G874" s="70">
        <f t="shared" si="269"/>
        <v>872</v>
      </c>
      <c r="H874" s="7" t="s">
        <v>49</v>
      </c>
    </row>
    <row r="875" ht="18.75" customHeight="1">
      <c r="A875" s="238" t="s">
        <v>206</v>
      </c>
      <c r="B875" s="43">
        <f t="shared" si="2"/>
        <v>874</v>
      </c>
      <c r="C875" s="80" t="s">
        <v>912</v>
      </c>
      <c r="D875" s="17">
        <v>1.0</v>
      </c>
      <c r="E875" s="58">
        <f>F810</f>
        <v>45910</v>
      </c>
      <c r="F875" s="58">
        <f t="shared" si="40"/>
        <v>45911</v>
      </c>
      <c r="G875" s="70">
        <f>B810</f>
        <v>809</v>
      </c>
      <c r="H875" s="7" t="s">
        <v>10</v>
      </c>
    </row>
    <row r="876" ht="18.75" customHeight="1">
      <c r="A876" s="240" t="s">
        <v>373</v>
      </c>
      <c r="B876" s="43">
        <f t="shared" si="2"/>
        <v>875</v>
      </c>
      <c r="C876" s="80" t="s">
        <v>913</v>
      </c>
      <c r="D876" s="7">
        <v>1.0</v>
      </c>
      <c r="E876" s="58">
        <f t="shared" ref="E876:E878" si="270">F875</f>
        <v>45911</v>
      </c>
      <c r="F876" s="58">
        <f t="shared" si="40"/>
        <v>45912</v>
      </c>
      <c r="G876" s="70">
        <f t="shared" ref="G876:G878" si="271">B875</f>
        <v>874</v>
      </c>
      <c r="H876" s="7" t="s">
        <v>23</v>
      </c>
    </row>
    <row r="877" ht="18.75" customHeight="1">
      <c r="A877" s="240" t="s">
        <v>914</v>
      </c>
      <c r="B877" s="43">
        <f t="shared" si="2"/>
        <v>876</v>
      </c>
      <c r="C877" s="80" t="s">
        <v>915</v>
      </c>
      <c r="D877" s="7">
        <v>2.0</v>
      </c>
      <c r="E877" s="58">
        <f t="shared" si="270"/>
        <v>45912</v>
      </c>
      <c r="F877" s="58">
        <f t="shared" si="40"/>
        <v>45914</v>
      </c>
      <c r="G877" s="70">
        <f t="shared" si="271"/>
        <v>875</v>
      </c>
      <c r="H877" s="7" t="s">
        <v>23</v>
      </c>
    </row>
    <row r="878" ht="18.75" customHeight="1">
      <c r="A878" s="240" t="s">
        <v>551</v>
      </c>
      <c r="B878" s="5">
        <f t="shared" si="2"/>
        <v>877</v>
      </c>
      <c r="C878" s="42" t="s">
        <v>916</v>
      </c>
      <c r="D878" s="7">
        <v>1.0</v>
      </c>
      <c r="E878" s="58">
        <f t="shared" si="270"/>
        <v>45914</v>
      </c>
      <c r="F878" s="58">
        <f t="shared" si="40"/>
        <v>45915</v>
      </c>
      <c r="G878" s="70">
        <f t="shared" si="271"/>
        <v>876</v>
      </c>
      <c r="H878" s="7" t="s">
        <v>49</v>
      </c>
    </row>
    <row r="879" ht="18.75" customHeight="1">
      <c r="A879" s="245"/>
      <c r="B879" s="5">
        <f t="shared" si="2"/>
        <v>878</v>
      </c>
      <c r="C879" s="239" t="s">
        <v>917</v>
      </c>
      <c r="D879" s="17">
        <v>1.0</v>
      </c>
      <c r="E879" s="58">
        <f>F810</f>
        <v>45910</v>
      </c>
      <c r="F879" s="58">
        <f t="shared" si="40"/>
        <v>45911</v>
      </c>
      <c r="G879" s="70">
        <f>B810</f>
        <v>809</v>
      </c>
      <c r="H879" s="7" t="s">
        <v>10</v>
      </c>
    </row>
    <row r="880" ht="18.75" customHeight="1">
      <c r="A880" s="246"/>
      <c r="B880" s="43">
        <f t="shared" si="2"/>
        <v>879</v>
      </c>
      <c r="C880" s="239" t="s">
        <v>918</v>
      </c>
      <c r="D880" s="7">
        <v>1.0</v>
      </c>
      <c r="E880" s="58">
        <f t="shared" ref="E880:E882" si="272">F879</f>
        <v>45911</v>
      </c>
      <c r="F880" s="58">
        <f t="shared" si="40"/>
        <v>45912</v>
      </c>
      <c r="G880" s="70">
        <f t="shared" ref="G880:G882" si="273">B879</f>
        <v>878</v>
      </c>
      <c r="H880" s="7" t="s">
        <v>23</v>
      </c>
    </row>
    <row r="881" ht="18.75" customHeight="1">
      <c r="A881" s="246"/>
      <c r="B881" s="43">
        <f t="shared" si="2"/>
        <v>880</v>
      </c>
      <c r="C881" s="239" t="s">
        <v>919</v>
      </c>
      <c r="D881" s="7">
        <v>2.0</v>
      </c>
      <c r="E881" s="58">
        <f t="shared" si="272"/>
        <v>45912</v>
      </c>
      <c r="F881" s="58">
        <f t="shared" si="40"/>
        <v>45914</v>
      </c>
      <c r="G881" s="70">
        <f t="shared" si="273"/>
        <v>879</v>
      </c>
      <c r="H881" s="7" t="s">
        <v>23</v>
      </c>
    </row>
    <row r="882" ht="18.75" customHeight="1">
      <c r="A882" s="247"/>
      <c r="B882" s="43">
        <f t="shared" si="2"/>
        <v>881</v>
      </c>
      <c r="C882" s="242" t="s">
        <v>920</v>
      </c>
      <c r="D882" s="7">
        <v>1.0</v>
      </c>
      <c r="E882" s="58">
        <f t="shared" si="272"/>
        <v>45914</v>
      </c>
      <c r="F882" s="58">
        <f t="shared" si="40"/>
        <v>45915</v>
      </c>
      <c r="G882" s="70">
        <f t="shared" si="273"/>
        <v>880</v>
      </c>
      <c r="H882" s="7" t="s">
        <v>49</v>
      </c>
    </row>
    <row r="883" ht="18.75" customHeight="1">
      <c r="A883" s="97" t="s">
        <v>206</v>
      </c>
      <c r="B883" s="43">
        <f t="shared" si="2"/>
        <v>882</v>
      </c>
      <c r="C883" s="80" t="s">
        <v>921</v>
      </c>
      <c r="D883" s="17">
        <v>1.0</v>
      </c>
      <c r="E883" s="58">
        <f>F810</f>
        <v>45910</v>
      </c>
      <c r="F883" s="58">
        <f t="shared" si="40"/>
        <v>45911</v>
      </c>
      <c r="G883" s="70">
        <f>B810</f>
        <v>809</v>
      </c>
      <c r="H883" s="7" t="s">
        <v>10</v>
      </c>
    </row>
    <row r="884" ht="18.75" customHeight="1">
      <c r="A884" s="41" t="s">
        <v>922</v>
      </c>
      <c r="B884" s="43">
        <f t="shared" si="2"/>
        <v>883</v>
      </c>
      <c r="C884" s="80" t="s">
        <v>923</v>
      </c>
      <c r="D884" s="7">
        <v>1.0</v>
      </c>
      <c r="E884" s="58">
        <f t="shared" ref="E884:E886" si="274">F883</f>
        <v>45911</v>
      </c>
      <c r="F884" s="58">
        <f t="shared" si="40"/>
        <v>45912</v>
      </c>
      <c r="G884" s="70">
        <f t="shared" ref="G884:G886" si="275">B883</f>
        <v>882</v>
      </c>
      <c r="H884" s="7" t="s">
        <v>23</v>
      </c>
    </row>
    <row r="885" ht="18.75" customHeight="1">
      <c r="A885" s="41" t="s">
        <v>924</v>
      </c>
      <c r="B885" s="43">
        <f t="shared" si="2"/>
        <v>884</v>
      </c>
      <c r="C885" s="80" t="s">
        <v>925</v>
      </c>
      <c r="D885" s="7">
        <v>2.0</v>
      </c>
      <c r="E885" s="58">
        <f t="shared" si="274"/>
        <v>45912</v>
      </c>
      <c r="F885" s="58">
        <f t="shared" si="40"/>
        <v>45914</v>
      </c>
      <c r="G885" s="70">
        <f t="shared" si="275"/>
        <v>883</v>
      </c>
      <c r="H885" s="7" t="s">
        <v>23</v>
      </c>
    </row>
    <row r="886" ht="18.75" customHeight="1">
      <c r="A886" s="41" t="s">
        <v>551</v>
      </c>
      <c r="B886" s="5">
        <f t="shared" si="2"/>
        <v>885</v>
      </c>
      <c r="C886" s="42" t="s">
        <v>926</v>
      </c>
      <c r="D886" s="7">
        <v>1.0</v>
      </c>
      <c r="E886" s="58">
        <f t="shared" si="274"/>
        <v>45914</v>
      </c>
      <c r="F886" s="58">
        <f t="shared" si="40"/>
        <v>45915</v>
      </c>
      <c r="G886" s="70">
        <f t="shared" si="275"/>
        <v>884</v>
      </c>
      <c r="H886" s="7" t="s">
        <v>49</v>
      </c>
    </row>
    <row r="887" ht="18.75" customHeight="1">
      <c r="A887" s="179"/>
      <c r="B887" s="5">
        <f t="shared" si="2"/>
        <v>886</v>
      </c>
      <c r="C887" s="239" t="s">
        <v>927</v>
      </c>
      <c r="D887" s="17">
        <v>1.0</v>
      </c>
      <c r="E887" s="58">
        <f>F810</f>
        <v>45910</v>
      </c>
      <c r="F887" s="58">
        <f t="shared" si="40"/>
        <v>45911</v>
      </c>
      <c r="G887" s="70">
        <f>B810</f>
        <v>809</v>
      </c>
      <c r="H887" s="7" t="s">
        <v>10</v>
      </c>
    </row>
    <row r="888" ht="18.75" customHeight="1">
      <c r="A888" s="243"/>
      <c r="B888" s="43">
        <f t="shared" si="2"/>
        <v>887</v>
      </c>
      <c r="C888" s="239" t="s">
        <v>928</v>
      </c>
      <c r="D888" s="7">
        <v>1.0</v>
      </c>
      <c r="E888" s="58">
        <f t="shared" ref="E888:E922" si="276">F887</f>
        <v>45911</v>
      </c>
      <c r="F888" s="58">
        <f t="shared" si="40"/>
        <v>45912</v>
      </c>
      <c r="G888" s="70">
        <f t="shared" ref="G888:G890" si="277">B887</f>
        <v>886</v>
      </c>
      <c r="H888" s="7" t="s">
        <v>23</v>
      </c>
    </row>
    <row r="889" ht="18.75" customHeight="1">
      <c r="A889" s="243"/>
      <c r="B889" s="43">
        <f t="shared" si="2"/>
        <v>888</v>
      </c>
      <c r="C889" s="239" t="s">
        <v>929</v>
      </c>
      <c r="D889" s="7">
        <v>2.0</v>
      </c>
      <c r="E889" s="58">
        <f t="shared" si="276"/>
        <v>45912</v>
      </c>
      <c r="F889" s="58">
        <f t="shared" si="40"/>
        <v>45914</v>
      </c>
      <c r="G889" s="70">
        <f t="shared" si="277"/>
        <v>887</v>
      </c>
      <c r="H889" s="7" t="s">
        <v>23</v>
      </c>
    </row>
    <row r="890" ht="18.75" customHeight="1">
      <c r="A890" s="243"/>
      <c r="B890" s="43">
        <f t="shared" si="2"/>
        <v>889</v>
      </c>
      <c r="C890" s="242" t="s">
        <v>930</v>
      </c>
      <c r="D890" s="7">
        <v>1.0</v>
      </c>
      <c r="E890" s="58">
        <f t="shared" si="276"/>
        <v>45914</v>
      </c>
      <c r="F890" s="58">
        <f t="shared" si="40"/>
        <v>45915</v>
      </c>
      <c r="G890" s="70">
        <f t="shared" si="277"/>
        <v>888</v>
      </c>
      <c r="H890" s="7" t="s">
        <v>49</v>
      </c>
    </row>
    <row r="891" ht="37.5" customHeight="1">
      <c r="A891" s="248" t="s">
        <v>211</v>
      </c>
      <c r="B891" s="108">
        <f t="shared" si="2"/>
        <v>890</v>
      </c>
      <c r="C891" s="249" t="s">
        <v>743</v>
      </c>
      <c r="D891" s="106">
        <v>1.0</v>
      </c>
      <c r="E891" s="24">
        <f t="shared" si="276"/>
        <v>45915</v>
      </c>
      <c r="F891" s="24">
        <f t="shared" si="40"/>
        <v>45916</v>
      </c>
      <c r="G891" s="108" t="str">
        <f>B814 &amp; "-" &amp; B818&amp; "-" &amp; B822&amp; "-" &amp; B826&amp; "-" &amp; B830&amp; "-" &amp; B834&amp; "-" &amp; B838&amp; "-" &amp; B842&amp; "-" &amp; B846&amp; "-" &amp; B850&amp; "-" &amp; B854&amp; "-" &amp; B858&amp; "-" &amp; B862&amp; "-" &amp; B866&amp; "-" &amp; B870&amp; "-" &amp; B874&amp; "-" &amp; B878&amp; "-" &amp; B882&amp; "-" &amp; B886&amp; "-" &amp; B890</f>
        <v>813-817-821-825-829-833-837-841-845-849-853-857-861-865-869-873-877-881-885-889</v>
      </c>
      <c r="H891" s="106" t="s">
        <v>10</v>
      </c>
    </row>
    <row r="892" ht="18.75" customHeight="1">
      <c r="A892" s="250"/>
      <c r="B892" s="142">
        <f t="shared" si="2"/>
        <v>891</v>
      </c>
      <c r="C892" s="249" t="s">
        <v>744</v>
      </c>
      <c r="D892" s="101">
        <v>1.0</v>
      </c>
      <c r="E892" s="22">
        <f t="shared" si="276"/>
        <v>45916</v>
      </c>
      <c r="F892" s="22">
        <f t="shared" si="40"/>
        <v>45917</v>
      </c>
      <c r="G892" s="142">
        <f t="shared" ref="G892:G910" si="278">B891</f>
        <v>890</v>
      </c>
      <c r="H892" s="101" t="s">
        <v>23</v>
      </c>
    </row>
    <row r="893" ht="18.75" customHeight="1">
      <c r="A893" s="227"/>
      <c r="B893" s="108">
        <f t="shared" si="2"/>
        <v>892</v>
      </c>
      <c r="C893" s="249" t="s">
        <v>745</v>
      </c>
      <c r="D893" s="106">
        <v>2.0</v>
      </c>
      <c r="E893" s="24">
        <f t="shared" si="276"/>
        <v>45917</v>
      </c>
      <c r="F893" s="24">
        <f t="shared" si="40"/>
        <v>45919</v>
      </c>
      <c r="G893" s="108">
        <f t="shared" si="278"/>
        <v>891</v>
      </c>
      <c r="H893" s="106" t="s">
        <v>23</v>
      </c>
    </row>
    <row r="894" ht="18.75" customHeight="1">
      <c r="A894" s="227"/>
      <c r="B894" s="108">
        <f t="shared" si="2"/>
        <v>893</v>
      </c>
      <c r="C894" s="249" t="s">
        <v>931</v>
      </c>
      <c r="D894" s="115">
        <v>1.0</v>
      </c>
      <c r="E894" s="24">
        <f t="shared" si="276"/>
        <v>45919</v>
      </c>
      <c r="F894" s="24">
        <f t="shared" si="40"/>
        <v>45920</v>
      </c>
      <c r="G894" s="108">
        <f t="shared" si="278"/>
        <v>892</v>
      </c>
      <c r="H894" s="115" t="s">
        <v>49</v>
      </c>
    </row>
    <row r="895" ht="18.75" customHeight="1">
      <c r="A895" s="75" t="s">
        <v>932</v>
      </c>
      <c r="B895" s="142">
        <f t="shared" si="2"/>
        <v>894</v>
      </c>
      <c r="C895" s="78" t="s">
        <v>933</v>
      </c>
      <c r="D895" s="101">
        <v>1.0</v>
      </c>
      <c r="E895" s="22">
        <f t="shared" si="276"/>
        <v>45920</v>
      </c>
      <c r="F895" s="22">
        <f t="shared" si="40"/>
        <v>45921</v>
      </c>
      <c r="G895" s="142">
        <f t="shared" si="278"/>
        <v>893</v>
      </c>
      <c r="H895" s="101" t="s">
        <v>10</v>
      </c>
    </row>
    <row r="896" ht="18.75" customHeight="1">
      <c r="A896" s="220" t="s">
        <v>934</v>
      </c>
      <c r="B896" s="108">
        <f t="shared" si="2"/>
        <v>895</v>
      </c>
      <c r="C896" s="78" t="s">
        <v>935</v>
      </c>
      <c r="D896" s="106">
        <v>1.0</v>
      </c>
      <c r="E896" s="24">
        <f t="shared" si="276"/>
        <v>45921</v>
      </c>
      <c r="F896" s="24">
        <f t="shared" si="40"/>
        <v>45922</v>
      </c>
      <c r="G896" s="108">
        <f t="shared" si="278"/>
        <v>894</v>
      </c>
      <c r="H896" s="106" t="s">
        <v>23</v>
      </c>
    </row>
    <row r="897" ht="18.75" customHeight="1">
      <c r="A897" s="221"/>
      <c r="B897" s="142">
        <f t="shared" si="2"/>
        <v>896</v>
      </c>
      <c r="C897" s="78" t="s">
        <v>936</v>
      </c>
      <c r="D897" s="101">
        <v>2.0</v>
      </c>
      <c r="E897" s="22">
        <f t="shared" si="276"/>
        <v>45922</v>
      </c>
      <c r="F897" s="22">
        <f t="shared" si="40"/>
        <v>45924</v>
      </c>
      <c r="G897" s="108">
        <f t="shared" si="278"/>
        <v>895</v>
      </c>
      <c r="H897" s="101" t="s">
        <v>23</v>
      </c>
    </row>
    <row r="898" ht="18.75" customHeight="1">
      <c r="A898" s="251"/>
      <c r="B898" s="108">
        <f t="shared" si="2"/>
        <v>897</v>
      </c>
      <c r="C898" s="78" t="s">
        <v>937</v>
      </c>
      <c r="D898" s="115">
        <v>1.0</v>
      </c>
      <c r="E898" s="24">
        <f t="shared" si="276"/>
        <v>45924</v>
      </c>
      <c r="F898" s="24">
        <f t="shared" si="40"/>
        <v>45925</v>
      </c>
      <c r="G898" s="108">
        <f t="shared" si="278"/>
        <v>896</v>
      </c>
      <c r="H898" s="106" t="s">
        <v>49</v>
      </c>
    </row>
    <row r="899" ht="18.75" customHeight="1">
      <c r="A899" s="252" t="s">
        <v>812</v>
      </c>
      <c r="B899" s="142">
        <f t="shared" si="2"/>
        <v>898</v>
      </c>
      <c r="C899" s="29" t="s">
        <v>938</v>
      </c>
      <c r="D899" s="101">
        <v>1.0</v>
      </c>
      <c r="E899" s="22">
        <f t="shared" si="276"/>
        <v>45925</v>
      </c>
      <c r="F899" s="22">
        <f t="shared" si="40"/>
        <v>45926</v>
      </c>
      <c r="G899" s="108">
        <f t="shared" si="278"/>
        <v>897</v>
      </c>
      <c r="H899" s="101" t="s">
        <v>10</v>
      </c>
    </row>
    <row r="900" ht="18.75" customHeight="1">
      <c r="A900" s="253"/>
      <c r="B900" s="108">
        <f t="shared" si="2"/>
        <v>899</v>
      </c>
      <c r="C900" s="29" t="s">
        <v>939</v>
      </c>
      <c r="D900" s="106">
        <v>1.0</v>
      </c>
      <c r="E900" s="24">
        <f t="shared" si="276"/>
        <v>45926</v>
      </c>
      <c r="F900" s="24">
        <f t="shared" si="40"/>
        <v>45927</v>
      </c>
      <c r="G900" s="108">
        <f t="shared" si="278"/>
        <v>898</v>
      </c>
      <c r="H900" s="106" t="s">
        <v>23</v>
      </c>
    </row>
    <row r="901" ht="18.75" customHeight="1">
      <c r="A901" s="253"/>
      <c r="B901" s="142">
        <f t="shared" si="2"/>
        <v>900</v>
      </c>
      <c r="C901" s="29" t="s">
        <v>940</v>
      </c>
      <c r="D901" s="101">
        <v>2.0</v>
      </c>
      <c r="E901" s="22">
        <f t="shared" si="276"/>
        <v>45927</v>
      </c>
      <c r="F901" s="22">
        <f t="shared" si="40"/>
        <v>45929</v>
      </c>
      <c r="G901" s="108">
        <f t="shared" si="278"/>
        <v>899</v>
      </c>
      <c r="H901" s="101" t="s">
        <v>23</v>
      </c>
    </row>
    <row r="902" ht="18.75" customHeight="1">
      <c r="A902" s="254"/>
      <c r="B902" s="108">
        <f t="shared" si="2"/>
        <v>901</v>
      </c>
      <c r="C902" s="29" t="s">
        <v>941</v>
      </c>
      <c r="D902" s="115">
        <v>1.0</v>
      </c>
      <c r="E902" s="24">
        <f t="shared" si="276"/>
        <v>45929</v>
      </c>
      <c r="F902" s="24">
        <f t="shared" si="40"/>
        <v>45930</v>
      </c>
      <c r="G902" s="108">
        <f t="shared" si="278"/>
        <v>900</v>
      </c>
      <c r="H902" s="106" t="s">
        <v>49</v>
      </c>
    </row>
    <row r="903" ht="18.75" customHeight="1">
      <c r="A903" s="112" t="s">
        <v>932</v>
      </c>
      <c r="B903" s="142">
        <f t="shared" si="2"/>
        <v>902</v>
      </c>
      <c r="C903" s="139" t="s">
        <v>942</v>
      </c>
      <c r="D903" s="101">
        <v>1.0</v>
      </c>
      <c r="E903" s="22">
        <f t="shared" si="276"/>
        <v>45930</v>
      </c>
      <c r="F903" s="22">
        <f t="shared" si="40"/>
        <v>45931</v>
      </c>
      <c r="G903" s="108">
        <f t="shared" si="278"/>
        <v>901</v>
      </c>
      <c r="H903" s="101" t="s">
        <v>10</v>
      </c>
    </row>
    <row r="904" ht="18.75" customHeight="1">
      <c r="A904" s="217" t="s">
        <v>943</v>
      </c>
      <c r="B904" s="108">
        <f t="shared" si="2"/>
        <v>903</v>
      </c>
      <c r="C904" s="139" t="s">
        <v>944</v>
      </c>
      <c r="D904" s="106">
        <v>1.0</v>
      </c>
      <c r="E904" s="22">
        <f t="shared" si="276"/>
        <v>45931</v>
      </c>
      <c r="F904" s="24">
        <f t="shared" si="40"/>
        <v>45932</v>
      </c>
      <c r="G904" s="108">
        <f t="shared" si="278"/>
        <v>902</v>
      </c>
      <c r="H904" s="106" t="s">
        <v>23</v>
      </c>
    </row>
    <row r="905" ht="18.75" customHeight="1">
      <c r="A905" s="218"/>
      <c r="B905" s="142">
        <f t="shared" si="2"/>
        <v>904</v>
      </c>
      <c r="C905" s="139" t="s">
        <v>945</v>
      </c>
      <c r="D905" s="101">
        <v>2.0</v>
      </c>
      <c r="E905" s="22">
        <f t="shared" si="276"/>
        <v>45932</v>
      </c>
      <c r="F905" s="22">
        <f t="shared" si="40"/>
        <v>45934</v>
      </c>
      <c r="G905" s="108">
        <f t="shared" si="278"/>
        <v>903</v>
      </c>
      <c r="H905" s="101" t="s">
        <v>23</v>
      </c>
    </row>
    <row r="906" ht="18.75" customHeight="1">
      <c r="A906" s="218"/>
      <c r="B906" s="108">
        <f t="shared" si="2"/>
        <v>905</v>
      </c>
      <c r="C906" s="139" t="s">
        <v>946</v>
      </c>
      <c r="D906" s="115">
        <v>1.0</v>
      </c>
      <c r="E906" s="22">
        <f t="shared" si="276"/>
        <v>45934</v>
      </c>
      <c r="F906" s="24">
        <f t="shared" si="40"/>
        <v>45935</v>
      </c>
      <c r="G906" s="108">
        <f t="shared" si="278"/>
        <v>904</v>
      </c>
      <c r="H906" s="106" t="s">
        <v>49</v>
      </c>
    </row>
    <row r="907" ht="18.75" customHeight="1">
      <c r="A907" s="140"/>
      <c r="B907" s="142">
        <f t="shared" si="2"/>
        <v>906</v>
      </c>
      <c r="C907" s="139" t="s">
        <v>947</v>
      </c>
      <c r="D907" s="101">
        <v>1.0</v>
      </c>
      <c r="E907" s="22">
        <f t="shared" si="276"/>
        <v>45935</v>
      </c>
      <c r="F907" s="22">
        <f t="shared" si="40"/>
        <v>45936</v>
      </c>
      <c r="G907" s="108">
        <f t="shared" si="278"/>
        <v>905</v>
      </c>
      <c r="H907" s="101" t="s">
        <v>10</v>
      </c>
    </row>
    <row r="908" ht="18.75" customHeight="1">
      <c r="A908" s="140"/>
      <c r="B908" s="108">
        <f t="shared" si="2"/>
        <v>907</v>
      </c>
      <c r="C908" s="139" t="s">
        <v>948</v>
      </c>
      <c r="D908" s="106">
        <v>1.0</v>
      </c>
      <c r="E908" s="22">
        <f t="shared" si="276"/>
        <v>45936</v>
      </c>
      <c r="F908" s="24">
        <f t="shared" si="40"/>
        <v>45937</v>
      </c>
      <c r="G908" s="108">
        <f t="shared" si="278"/>
        <v>906</v>
      </c>
      <c r="H908" s="106" t="s">
        <v>23</v>
      </c>
    </row>
    <row r="909" ht="18.75" customHeight="1">
      <c r="A909" s="140"/>
      <c r="B909" s="142">
        <f t="shared" si="2"/>
        <v>908</v>
      </c>
      <c r="C909" s="139" t="s">
        <v>949</v>
      </c>
      <c r="D909" s="101">
        <v>4.0</v>
      </c>
      <c r="E909" s="22">
        <f t="shared" si="276"/>
        <v>45937</v>
      </c>
      <c r="F909" s="22">
        <f t="shared" si="40"/>
        <v>45941</v>
      </c>
      <c r="G909" s="108">
        <f t="shared" si="278"/>
        <v>907</v>
      </c>
      <c r="H909" s="101" t="s">
        <v>23</v>
      </c>
    </row>
    <row r="910" ht="18.75" customHeight="1">
      <c r="A910" s="170"/>
      <c r="B910" s="108">
        <f t="shared" si="2"/>
        <v>909</v>
      </c>
      <c r="C910" s="139" t="s">
        <v>950</v>
      </c>
      <c r="D910" s="115">
        <v>1.0</v>
      </c>
      <c r="E910" s="22">
        <f t="shared" si="276"/>
        <v>45941</v>
      </c>
      <c r="F910" s="24">
        <f t="shared" si="40"/>
        <v>45942</v>
      </c>
      <c r="G910" s="108">
        <f t="shared" si="278"/>
        <v>908</v>
      </c>
      <c r="H910" s="106" t="s">
        <v>49</v>
      </c>
    </row>
    <row r="911" ht="18.75" customHeight="1">
      <c r="A911" s="255" t="s">
        <v>951</v>
      </c>
      <c r="B911" s="142">
        <f t="shared" si="2"/>
        <v>910</v>
      </c>
      <c r="C911" s="29" t="s">
        <v>952</v>
      </c>
      <c r="D911" s="101">
        <v>1.0</v>
      </c>
      <c r="E911" s="22">
        <f t="shared" si="276"/>
        <v>45942</v>
      </c>
      <c r="F911" s="22">
        <f t="shared" si="40"/>
        <v>45943</v>
      </c>
      <c r="G911" s="108">
        <f>B906</f>
        <v>905</v>
      </c>
      <c r="H911" s="101" t="s">
        <v>10</v>
      </c>
    </row>
    <row r="912" ht="18.75" customHeight="1">
      <c r="A912" s="256"/>
      <c r="B912" s="108">
        <f t="shared" si="2"/>
        <v>911</v>
      </c>
      <c r="C912" s="29" t="s">
        <v>953</v>
      </c>
      <c r="D912" s="106">
        <v>1.0</v>
      </c>
      <c r="E912" s="22">
        <f t="shared" si="276"/>
        <v>45943</v>
      </c>
      <c r="F912" s="24">
        <f t="shared" si="40"/>
        <v>45944</v>
      </c>
      <c r="G912" s="108">
        <f t="shared" ref="G912:G922" si="279">B911</f>
        <v>910</v>
      </c>
      <c r="H912" s="106" t="s">
        <v>23</v>
      </c>
    </row>
    <row r="913" ht="18.75" customHeight="1">
      <c r="A913" s="256"/>
      <c r="B913" s="142">
        <f t="shared" si="2"/>
        <v>912</v>
      </c>
      <c r="C913" s="29" t="s">
        <v>954</v>
      </c>
      <c r="D913" s="101">
        <v>2.0</v>
      </c>
      <c r="E913" s="22">
        <f t="shared" si="276"/>
        <v>45944</v>
      </c>
      <c r="F913" s="22">
        <f t="shared" si="40"/>
        <v>45946</v>
      </c>
      <c r="G913" s="108">
        <f t="shared" si="279"/>
        <v>911</v>
      </c>
      <c r="H913" s="101" t="s">
        <v>23</v>
      </c>
    </row>
    <row r="914" ht="18.75" customHeight="1">
      <c r="A914" s="257"/>
      <c r="B914" s="108">
        <f t="shared" si="2"/>
        <v>913</v>
      </c>
      <c r="C914" s="29" t="s">
        <v>955</v>
      </c>
      <c r="D914" s="115">
        <v>1.0</v>
      </c>
      <c r="E914" s="22">
        <f t="shared" si="276"/>
        <v>45946</v>
      </c>
      <c r="F914" s="24">
        <f t="shared" si="40"/>
        <v>45947</v>
      </c>
      <c r="G914" s="108">
        <f t="shared" si="279"/>
        <v>912</v>
      </c>
      <c r="H914" s="106" t="s">
        <v>49</v>
      </c>
    </row>
    <row r="915" ht="18.75" customHeight="1">
      <c r="A915" s="32" t="s">
        <v>932</v>
      </c>
      <c r="B915" s="142">
        <f t="shared" si="2"/>
        <v>914</v>
      </c>
      <c r="C915" s="100" t="s">
        <v>956</v>
      </c>
      <c r="D915" s="101">
        <v>1.0</v>
      </c>
      <c r="E915" s="22">
        <f t="shared" si="276"/>
        <v>45947</v>
      </c>
      <c r="F915" s="22">
        <f t="shared" si="40"/>
        <v>45948</v>
      </c>
      <c r="G915" s="108">
        <f t="shared" si="279"/>
        <v>913</v>
      </c>
      <c r="H915" s="101" t="s">
        <v>10</v>
      </c>
    </row>
    <row r="916" ht="18.75" customHeight="1">
      <c r="A916" s="210" t="s">
        <v>551</v>
      </c>
      <c r="B916" s="108">
        <f t="shared" si="2"/>
        <v>915</v>
      </c>
      <c r="C916" s="100" t="s">
        <v>957</v>
      </c>
      <c r="D916" s="106">
        <v>1.0</v>
      </c>
      <c r="E916" s="22">
        <f t="shared" si="276"/>
        <v>45948</v>
      </c>
      <c r="F916" s="24">
        <f t="shared" si="40"/>
        <v>45949</v>
      </c>
      <c r="G916" s="108">
        <f t="shared" si="279"/>
        <v>914</v>
      </c>
      <c r="H916" s="106" t="s">
        <v>23</v>
      </c>
    </row>
    <row r="917" ht="18.75" customHeight="1">
      <c r="A917" s="109"/>
      <c r="B917" s="142">
        <f t="shared" si="2"/>
        <v>916</v>
      </c>
      <c r="C917" s="100" t="s">
        <v>958</v>
      </c>
      <c r="D917" s="101">
        <v>2.0</v>
      </c>
      <c r="E917" s="22">
        <f t="shared" si="276"/>
        <v>45949</v>
      </c>
      <c r="F917" s="22">
        <f t="shared" si="40"/>
        <v>45951</v>
      </c>
      <c r="G917" s="108">
        <f t="shared" si="279"/>
        <v>915</v>
      </c>
      <c r="H917" s="101" t="s">
        <v>23</v>
      </c>
    </row>
    <row r="918" ht="18.75" customHeight="1">
      <c r="A918" s="109"/>
      <c r="B918" s="108">
        <f t="shared" si="2"/>
        <v>917</v>
      </c>
      <c r="C918" s="100" t="s">
        <v>959</v>
      </c>
      <c r="D918" s="115">
        <v>1.0</v>
      </c>
      <c r="E918" s="22">
        <f t="shared" si="276"/>
        <v>45951</v>
      </c>
      <c r="F918" s="24">
        <f t="shared" si="40"/>
        <v>45952</v>
      </c>
      <c r="G918" s="108">
        <f t="shared" si="279"/>
        <v>916</v>
      </c>
      <c r="H918" s="106" t="s">
        <v>49</v>
      </c>
    </row>
    <row r="919" ht="18.75" customHeight="1">
      <c r="A919" s="154"/>
      <c r="B919" s="142">
        <f t="shared" si="2"/>
        <v>918</v>
      </c>
      <c r="C919" s="100" t="s">
        <v>291</v>
      </c>
      <c r="D919" s="101">
        <v>1.0</v>
      </c>
      <c r="E919" s="22">
        <f t="shared" si="276"/>
        <v>45952</v>
      </c>
      <c r="F919" s="22">
        <f t="shared" si="40"/>
        <v>45953</v>
      </c>
      <c r="G919" s="108">
        <f t="shared" si="279"/>
        <v>917</v>
      </c>
      <c r="H919" s="101" t="s">
        <v>10</v>
      </c>
    </row>
    <row r="920" ht="18.75" customHeight="1">
      <c r="A920" s="154"/>
      <c r="B920" s="108">
        <f t="shared" si="2"/>
        <v>919</v>
      </c>
      <c r="C920" s="100" t="s">
        <v>292</v>
      </c>
      <c r="D920" s="106">
        <v>1.0</v>
      </c>
      <c r="E920" s="22">
        <f t="shared" si="276"/>
        <v>45953</v>
      </c>
      <c r="F920" s="24">
        <f t="shared" si="40"/>
        <v>45954</v>
      </c>
      <c r="G920" s="108">
        <f t="shared" si="279"/>
        <v>918</v>
      </c>
      <c r="H920" s="106" t="s">
        <v>23</v>
      </c>
    </row>
    <row r="921" ht="18.75" customHeight="1">
      <c r="A921" s="154"/>
      <c r="B921" s="142">
        <f t="shared" si="2"/>
        <v>920</v>
      </c>
      <c r="C921" s="100" t="s">
        <v>293</v>
      </c>
      <c r="D921" s="101">
        <v>4.0</v>
      </c>
      <c r="E921" s="22">
        <f t="shared" si="276"/>
        <v>45954</v>
      </c>
      <c r="F921" s="22">
        <f t="shared" si="40"/>
        <v>45958</v>
      </c>
      <c r="G921" s="108">
        <f t="shared" si="279"/>
        <v>919</v>
      </c>
      <c r="H921" s="101" t="s">
        <v>23</v>
      </c>
    </row>
    <row r="922" ht="18.75" customHeight="1">
      <c r="A922" s="154"/>
      <c r="B922" s="108">
        <f t="shared" si="2"/>
        <v>921</v>
      </c>
      <c r="C922" s="100" t="s">
        <v>294</v>
      </c>
      <c r="D922" s="115">
        <v>1.0</v>
      </c>
      <c r="E922" s="22">
        <f t="shared" si="276"/>
        <v>45958</v>
      </c>
      <c r="F922" s="24">
        <f t="shared" si="40"/>
        <v>45959</v>
      </c>
      <c r="G922" s="108">
        <f t="shared" si="279"/>
        <v>920</v>
      </c>
      <c r="H922" s="106" t="s">
        <v>49</v>
      </c>
    </row>
    <row r="923" ht="18.75" customHeight="1">
      <c r="A923" s="15" t="s">
        <v>960</v>
      </c>
      <c r="B923" s="104">
        <f t="shared" si="2"/>
        <v>922</v>
      </c>
      <c r="C923" s="214" t="s">
        <v>961</v>
      </c>
      <c r="D923" s="101">
        <v>1.0</v>
      </c>
      <c r="E923" s="24">
        <f>F910</f>
        <v>45942</v>
      </c>
      <c r="F923" s="24">
        <f t="shared" si="40"/>
        <v>45943</v>
      </c>
      <c r="G923" s="108">
        <f>B906</f>
        <v>905</v>
      </c>
      <c r="H923" s="7" t="s">
        <v>10</v>
      </c>
    </row>
    <row r="924" ht="18.75" customHeight="1">
      <c r="A924" s="19" t="s">
        <v>962</v>
      </c>
      <c r="B924" s="104">
        <f t="shared" si="2"/>
        <v>923</v>
      </c>
      <c r="C924" s="214" t="s">
        <v>963</v>
      </c>
      <c r="D924" s="115">
        <v>1.0</v>
      </c>
      <c r="E924" s="22">
        <f t="shared" ref="E924:E926" si="280">F923</f>
        <v>45943</v>
      </c>
      <c r="F924" s="22">
        <f t="shared" si="40"/>
        <v>45944</v>
      </c>
      <c r="G924" s="108">
        <f t="shared" ref="G924:G926" si="281">B923</f>
        <v>922</v>
      </c>
      <c r="H924" s="7" t="s">
        <v>23</v>
      </c>
    </row>
    <row r="925" ht="18.75" customHeight="1">
      <c r="A925" s="122"/>
      <c r="B925" s="108">
        <f t="shared" si="2"/>
        <v>924</v>
      </c>
      <c r="C925" s="214" t="s">
        <v>964</v>
      </c>
      <c r="D925" s="110">
        <v>2.0</v>
      </c>
      <c r="E925" s="24">
        <f t="shared" si="280"/>
        <v>45944</v>
      </c>
      <c r="F925" s="24">
        <f t="shared" si="40"/>
        <v>45946</v>
      </c>
      <c r="G925" s="108">
        <f t="shared" si="281"/>
        <v>923</v>
      </c>
      <c r="H925" s="7" t="s">
        <v>23</v>
      </c>
    </row>
    <row r="926" ht="18.75" customHeight="1">
      <c r="A926" s="122"/>
      <c r="B926" s="104">
        <f t="shared" si="2"/>
        <v>925</v>
      </c>
      <c r="C926" s="214" t="s">
        <v>965</v>
      </c>
      <c r="D926" s="258">
        <v>1.0</v>
      </c>
      <c r="E926" s="24">
        <f t="shared" si="280"/>
        <v>45946</v>
      </c>
      <c r="F926" s="24">
        <f t="shared" si="40"/>
        <v>45947</v>
      </c>
      <c r="G926" s="108">
        <f t="shared" si="281"/>
        <v>924</v>
      </c>
      <c r="H926" s="110" t="s">
        <v>49</v>
      </c>
    </row>
    <row r="927" ht="18.75" customHeight="1">
      <c r="A927" s="259"/>
      <c r="B927" s="108">
        <f t="shared" si="2"/>
        <v>926</v>
      </c>
      <c r="C927" s="214" t="s">
        <v>966</v>
      </c>
      <c r="D927" s="101">
        <v>1.0</v>
      </c>
      <c r="E927" s="24">
        <f>F910</f>
        <v>45942</v>
      </c>
      <c r="F927" s="24">
        <f t="shared" si="40"/>
        <v>45943</v>
      </c>
      <c r="G927" s="108">
        <f>B906</f>
        <v>905</v>
      </c>
      <c r="H927" s="7" t="s">
        <v>10</v>
      </c>
    </row>
    <row r="928" ht="18.75" customHeight="1">
      <c r="A928" s="122"/>
      <c r="B928" s="104">
        <f t="shared" si="2"/>
        <v>927</v>
      </c>
      <c r="C928" s="214" t="s">
        <v>967</v>
      </c>
      <c r="D928" s="115">
        <v>1.0</v>
      </c>
      <c r="E928" s="22">
        <f t="shared" ref="E928:E930" si="282">F927</f>
        <v>45943</v>
      </c>
      <c r="F928" s="22">
        <f t="shared" si="40"/>
        <v>45944</v>
      </c>
      <c r="G928" s="108">
        <f t="shared" ref="G928:G930" si="283">B927</f>
        <v>926</v>
      </c>
      <c r="H928" s="7" t="s">
        <v>23</v>
      </c>
    </row>
    <row r="929" ht="18.75" customHeight="1">
      <c r="A929" s="122"/>
      <c r="B929" s="108">
        <f t="shared" si="2"/>
        <v>928</v>
      </c>
      <c r="C929" s="214" t="s">
        <v>968</v>
      </c>
      <c r="D929" s="110">
        <v>2.0</v>
      </c>
      <c r="E929" s="24">
        <f t="shared" si="282"/>
        <v>45944</v>
      </c>
      <c r="F929" s="24">
        <f t="shared" si="40"/>
        <v>45946</v>
      </c>
      <c r="G929" s="108">
        <f t="shared" si="283"/>
        <v>927</v>
      </c>
      <c r="H929" s="7" t="s">
        <v>23</v>
      </c>
    </row>
    <row r="930" ht="18.75" customHeight="1">
      <c r="A930" s="122"/>
      <c r="B930" s="104">
        <f t="shared" si="2"/>
        <v>929</v>
      </c>
      <c r="C930" s="214" t="s">
        <v>969</v>
      </c>
      <c r="D930" s="258">
        <v>1.0</v>
      </c>
      <c r="E930" s="24">
        <f t="shared" si="282"/>
        <v>45946</v>
      </c>
      <c r="F930" s="24">
        <f t="shared" si="40"/>
        <v>45947</v>
      </c>
      <c r="G930" s="108">
        <f t="shared" si="283"/>
        <v>928</v>
      </c>
      <c r="H930" s="110" t="s">
        <v>49</v>
      </c>
    </row>
    <row r="931" ht="18.75" customHeight="1">
      <c r="A931" s="259"/>
      <c r="B931" s="108">
        <f t="shared" si="2"/>
        <v>930</v>
      </c>
      <c r="C931" s="214" t="s">
        <v>970</v>
      </c>
      <c r="D931" s="101">
        <v>1.0</v>
      </c>
      <c r="E931" s="24">
        <f>F910</f>
        <v>45942</v>
      </c>
      <c r="F931" s="24">
        <f t="shared" si="40"/>
        <v>45943</v>
      </c>
      <c r="G931" s="108">
        <f>B906</f>
        <v>905</v>
      </c>
      <c r="H931" s="7" t="s">
        <v>10</v>
      </c>
    </row>
    <row r="932" ht="18.75" customHeight="1">
      <c r="A932" s="122"/>
      <c r="B932" s="104">
        <f t="shared" si="2"/>
        <v>931</v>
      </c>
      <c r="C932" s="214" t="s">
        <v>971</v>
      </c>
      <c r="D932" s="115">
        <v>1.0</v>
      </c>
      <c r="E932" s="22">
        <f t="shared" ref="E932:E934" si="284">F931</f>
        <v>45943</v>
      </c>
      <c r="F932" s="22">
        <f t="shared" si="40"/>
        <v>45944</v>
      </c>
      <c r="G932" s="108">
        <f t="shared" ref="G932:G934" si="285">B931</f>
        <v>930</v>
      </c>
      <c r="H932" s="7" t="s">
        <v>23</v>
      </c>
    </row>
    <row r="933" ht="18.75" customHeight="1">
      <c r="A933" s="122"/>
      <c r="B933" s="108">
        <f t="shared" si="2"/>
        <v>932</v>
      </c>
      <c r="C933" s="214" t="s">
        <v>972</v>
      </c>
      <c r="D933" s="110">
        <v>2.0</v>
      </c>
      <c r="E933" s="24">
        <f t="shared" si="284"/>
        <v>45944</v>
      </c>
      <c r="F933" s="24">
        <f t="shared" si="40"/>
        <v>45946</v>
      </c>
      <c r="G933" s="108">
        <f t="shared" si="285"/>
        <v>931</v>
      </c>
      <c r="H933" s="7" t="s">
        <v>23</v>
      </c>
    </row>
    <row r="934" ht="18.75" customHeight="1">
      <c r="A934" s="122"/>
      <c r="B934" s="104">
        <f t="shared" si="2"/>
        <v>933</v>
      </c>
      <c r="C934" s="214" t="s">
        <v>973</v>
      </c>
      <c r="D934" s="258">
        <v>1.0</v>
      </c>
      <c r="E934" s="24">
        <f t="shared" si="284"/>
        <v>45946</v>
      </c>
      <c r="F934" s="24">
        <f t="shared" si="40"/>
        <v>45947</v>
      </c>
      <c r="G934" s="108">
        <f t="shared" si="285"/>
        <v>932</v>
      </c>
      <c r="H934" s="110" t="s">
        <v>49</v>
      </c>
    </row>
    <row r="935" ht="18.75" customHeight="1">
      <c r="A935" s="259"/>
      <c r="B935" s="108">
        <f t="shared" si="2"/>
        <v>934</v>
      </c>
      <c r="C935" s="214" t="s">
        <v>974</v>
      </c>
      <c r="D935" s="101">
        <v>1.0</v>
      </c>
      <c r="E935" s="24">
        <f>F910</f>
        <v>45942</v>
      </c>
      <c r="F935" s="24">
        <f t="shared" si="40"/>
        <v>45943</v>
      </c>
      <c r="G935" s="108">
        <f>B906</f>
        <v>905</v>
      </c>
      <c r="H935" s="7" t="s">
        <v>10</v>
      </c>
    </row>
    <row r="936" ht="18.75" customHeight="1">
      <c r="A936" s="122"/>
      <c r="B936" s="104">
        <f t="shared" si="2"/>
        <v>935</v>
      </c>
      <c r="C936" s="214" t="s">
        <v>975</v>
      </c>
      <c r="D936" s="115">
        <v>1.0</v>
      </c>
      <c r="E936" s="22">
        <f t="shared" ref="E936:E938" si="286">F935</f>
        <v>45943</v>
      </c>
      <c r="F936" s="22">
        <f t="shared" si="40"/>
        <v>45944</v>
      </c>
      <c r="G936" s="108">
        <f t="shared" ref="G936:G938" si="287">B935</f>
        <v>934</v>
      </c>
      <c r="H936" s="7" t="s">
        <v>23</v>
      </c>
    </row>
    <row r="937" ht="18.75" customHeight="1">
      <c r="A937" s="122"/>
      <c r="B937" s="108">
        <f t="shared" si="2"/>
        <v>936</v>
      </c>
      <c r="C937" s="214" t="s">
        <v>976</v>
      </c>
      <c r="D937" s="110">
        <v>2.0</v>
      </c>
      <c r="E937" s="24">
        <f t="shared" si="286"/>
        <v>45944</v>
      </c>
      <c r="F937" s="24">
        <f t="shared" si="40"/>
        <v>45946</v>
      </c>
      <c r="G937" s="108">
        <f t="shared" si="287"/>
        <v>935</v>
      </c>
      <c r="H937" s="7" t="s">
        <v>23</v>
      </c>
    </row>
    <row r="938" ht="18.75" customHeight="1">
      <c r="A938" s="122"/>
      <c r="B938" s="104">
        <f t="shared" si="2"/>
        <v>937</v>
      </c>
      <c r="C938" s="214" t="s">
        <v>977</v>
      </c>
      <c r="D938" s="258">
        <v>1.0</v>
      </c>
      <c r="E938" s="24">
        <f t="shared" si="286"/>
        <v>45946</v>
      </c>
      <c r="F938" s="24">
        <f t="shared" si="40"/>
        <v>45947</v>
      </c>
      <c r="G938" s="108">
        <f t="shared" si="287"/>
        <v>936</v>
      </c>
      <c r="H938" s="110" t="s">
        <v>49</v>
      </c>
    </row>
    <row r="939" ht="18.75" customHeight="1">
      <c r="A939" s="259"/>
      <c r="B939" s="108">
        <f t="shared" si="2"/>
        <v>938</v>
      </c>
      <c r="C939" s="214" t="s">
        <v>978</v>
      </c>
      <c r="D939" s="101">
        <v>1.0</v>
      </c>
      <c r="E939" s="24">
        <f>F910</f>
        <v>45942</v>
      </c>
      <c r="F939" s="24">
        <f t="shared" si="40"/>
        <v>45943</v>
      </c>
      <c r="G939" s="108">
        <f>B906</f>
        <v>905</v>
      </c>
      <c r="H939" s="7" t="s">
        <v>10</v>
      </c>
    </row>
    <row r="940" ht="18.75" customHeight="1">
      <c r="A940" s="122"/>
      <c r="B940" s="104">
        <f t="shared" si="2"/>
        <v>939</v>
      </c>
      <c r="C940" s="214" t="s">
        <v>979</v>
      </c>
      <c r="D940" s="115">
        <v>1.0</v>
      </c>
      <c r="E940" s="22">
        <f t="shared" ref="E940:E942" si="288">F939</f>
        <v>45943</v>
      </c>
      <c r="F940" s="22">
        <f t="shared" si="40"/>
        <v>45944</v>
      </c>
      <c r="G940" s="108">
        <f t="shared" ref="G940:G942" si="289">B939</f>
        <v>938</v>
      </c>
      <c r="H940" s="7" t="s">
        <v>23</v>
      </c>
    </row>
    <row r="941" ht="18.75" customHeight="1">
      <c r="A941" s="122"/>
      <c r="B941" s="108">
        <f t="shared" si="2"/>
        <v>940</v>
      </c>
      <c r="C941" s="214" t="s">
        <v>980</v>
      </c>
      <c r="D941" s="110">
        <v>2.0</v>
      </c>
      <c r="E941" s="24">
        <f t="shared" si="288"/>
        <v>45944</v>
      </c>
      <c r="F941" s="24">
        <f t="shared" si="40"/>
        <v>45946</v>
      </c>
      <c r="G941" s="108">
        <f t="shared" si="289"/>
        <v>939</v>
      </c>
      <c r="H941" s="7" t="s">
        <v>23</v>
      </c>
    </row>
    <row r="942" ht="18.75" customHeight="1">
      <c r="A942" s="123"/>
      <c r="B942" s="104">
        <f t="shared" si="2"/>
        <v>941</v>
      </c>
      <c r="C942" s="214" t="s">
        <v>981</v>
      </c>
      <c r="D942" s="258">
        <v>1.0</v>
      </c>
      <c r="E942" s="24">
        <f t="shared" si="288"/>
        <v>45946</v>
      </c>
      <c r="F942" s="24">
        <f t="shared" si="40"/>
        <v>45947</v>
      </c>
      <c r="G942" s="108">
        <f t="shared" si="289"/>
        <v>940</v>
      </c>
      <c r="H942" s="110" t="s">
        <v>49</v>
      </c>
    </row>
    <row r="943" ht="18.75" customHeight="1">
      <c r="A943" s="260" t="s">
        <v>55</v>
      </c>
      <c r="B943" s="142">
        <f t="shared" si="2"/>
        <v>942</v>
      </c>
      <c r="C943" s="39" t="s">
        <v>982</v>
      </c>
      <c r="D943" s="101">
        <v>1.0</v>
      </c>
      <c r="E943" s="24">
        <f>F910</f>
        <v>45942</v>
      </c>
      <c r="F943" s="24">
        <f t="shared" si="40"/>
        <v>45943</v>
      </c>
      <c r="G943" s="108">
        <f>B906</f>
        <v>905</v>
      </c>
      <c r="H943" s="101" t="s">
        <v>10</v>
      </c>
    </row>
    <row r="944" ht="18.75" customHeight="1">
      <c r="A944" s="261"/>
      <c r="B944" s="108">
        <f t="shared" si="2"/>
        <v>943</v>
      </c>
      <c r="C944" s="39" t="s">
        <v>983</v>
      </c>
      <c r="D944" s="106">
        <v>1.0</v>
      </c>
      <c r="E944" s="22">
        <f t="shared" ref="E944:E946" si="290">F943</f>
        <v>45943</v>
      </c>
      <c r="F944" s="22">
        <f t="shared" si="40"/>
        <v>45944</v>
      </c>
      <c r="G944" s="108">
        <f t="shared" ref="G944:G946" si="291">B943</f>
        <v>942</v>
      </c>
      <c r="H944" s="106" t="s">
        <v>23</v>
      </c>
    </row>
    <row r="945" ht="18.75" customHeight="1">
      <c r="A945" s="261"/>
      <c r="B945" s="142">
        <f t="shared" si="2"/>
        <v>944</v>
      </c>
      <c r="C945" s="39" t="s">
        <v>984</v>
      </c>
      <c r="D945" s="101">
        <v>4.0</v>
      </c>
      <c r="E945" s="24">
        <f t="shared" si="290"/>
        <v>45944</v>
      </c>
      <c r="F945" s="24">
        <f t="shared" si="40"/>
        <v>45948</v>
      </c>
      <c r="G945" s="108">
        <f t="shared" si="291"/>
        <v>943</v>
      </c>
      <c r="H945" s="101" t="s">
        <v>23</v>
      </c>
    </row>
    <row r="946" ht="18.75" customHeight="1">
      <c r="A946" s="262"/>
      <c r="B946" s="108">
        <f t="shared" si="2"/>
        <v>945</v>
      </c>
      <c r="C946" s="39" t="s">
        <v>985</v>
      </c>
      <c r="D946" s="115">
        <v>1.0</v>
      </c>
      <c r="E946" s="24">
        <f t="shared" si="290"/>
        <v>45948</v>
      </c>
      <c r="F946" s="24">
        <f t="shared" si="40"/>
        <v>45949</v>
      </c>
      <c r="G946" s="108">
        <f t="shared" si="291"/>
        <v>944</v>
      </c>
      <c r="H946" s="106" t="s">
        <v>49</v>
      </c>
    </row>
    <row r="947" ht="18.75" customHeight="1">
      <c r="A947" s="263" t="s">
        <v>178</v>
      </c>
      <c r="B947" s="142">
        <f t="shared" si="2"/>
        <v>946</v>
      </c>
      <c r="C947" s="139" t="s">
        <v>986</v>
      </c>
      <c r="D947" s="101">
        <v>1.0</v>
      </c>
      <c r="E947" s="24">
        <f>F910</f>
        <v>45942</v>
      </c>
      <c r="F947" s="24">
        <f t="shared" si="40"/>
        <v>45943</v>
      </c>
      <c r="G947" s="108">
        <f>B906</f>
        <v>905</v>
      </c>
      <c r="H947" s="101" t="s">
        <v>10</v>
      </c>
    </row>
    <row r="948" ht="18.75" customHeight="1">
      <c r="A948" s="264"/>
      <c r="B948" s="108">
        <f t="shared" si="2"/>
        <v>947</v>
      </c>
      <c r="C948" s="139" t="s">
        <v>987</v>
      </c>
      <c r="D948" s="106">
        <v>2.0</v>
      </c>
      <c r="E948" s="22">
        <f t="shared" ref="E948:E951" si="292">F947</f>
        <v>45943</v>
      </c>
      <c r="F948" s="22">
        <f t="shared" si="40"/>
        <v>45945</v>
      </c>
      <c r="G948" s="108">
        <f t="shared" ref="G948:G951" si="293">B947</f>
        <v>946</v>
      </c>
      <c r="H948" s="106" t="s">
        <v>23</v>
      </c>
    </row>
    <row r="949" ht="18.75" customHeight="1">
      <c r="A949" s="264"/>
      <c r="B949" s="142">
        <f t="shared" si="2"/>
        <v>948</v>
      </c>
      <c r="C949" s="139" t="s">
        <v>988</v>
      </c>
      <c r="D949" s="101">
        <v>2.0</v>
      </c>
      <c r="E949" s="24">
        <f t="shared" si="292"/>
        <v>45945</v>
      </c>
      <c r="F949" s="24">
        <f t="shared" si="40"/>
        <v>45947</v>
      </c>
      <c r="G949" s="108">
        <f t="shared" si="293"/>
        <v>947</v>
      </c>
      <c r="H949" s="101" t="s">
        <v>23</v>
      </c>
    </row>
    <row r="950" ht="18.75" customHeight="1">
      <c r="A950" s="264"/>
      <c r="B950" s="108">
        <f t="shared" si="2"/>
        <v>949</v>
      </c>
      <c r="C950" s="139" t="s">
        <v>989</v>
      </c>
      <c r="D950" s="106">
        <v>4.0</v>
      </c>
      <c r="E950" s="24">
        <f t="shared" si="292"/>
        <v>45947</v>
      </c>
      <c r="F950" s="24">
        <f t="shared" si="40"/>
        <v>45951</v>
      </c>
      <c r="G950" s="108">
        <f t="shared" si="293"/>
        <v>948</v>
      </c>
      <c r="H950" s="106" t="s">
        <v>23</v>
      </c>
    </row>
    <row r="951" ht="18.75" customHeight="1">
      <c r="A951" s="265"/>
      <c r="B951" s="142">
        <f t="shared" si="2"/>
        <v>950</v>
      </c>
      <c r="C951" s="139" t="s">
        <v>990</v>
      </c>
      <c r="D951" s="266">
        <v>1.0</v>
      </c>
      <c r="E951" s="22">
        <f t="shared" si="292"/>
        <v>45951</v>
      </c>
      <c r="F951" s="22">
        <f t="shared" si="40"/>
        <v>45952</v>
      </c>
      <c r="G951" s="142">
        <f t="shared" si="293"/>
        <v>949</v>
      </c>
      <c r="H951" s="101" t="s">
        <v>49</v>
      </c>
    </row>
    <row r="952" ht="18.75" customHeight="1">
      <c r="A952" s="32" t="s">
        <v>991</v>
      </c>
      <c r="B952" s="99">
        <f t="shared" si="2"/>
        <v>951</v>
      </c>
      <c r="C952" s="100" t="s">
        <v>992</v>
      </c>
      <c r="D952" s="101">
        <v>1.0</v>
      </c>
      <c r="E952" s="22">
        <f>F910</f>
        <v>45942</v>
      </c>
      <c r="F952" s="22">
        <f t="shared" si="40"/>
        <v>45943</v>
      </c>
      <c r="G952" s="142">
        <f>B918</f>
        <v>917</v>
      </c>
      <c r="H952" s="101" t="s">
        <v>10</v>
      </c>
    </row>
    <row r="953" ht="18.75" customHeight="1">
      <c r="A953" s="210" t="s">
        <v>993</v>
      </c>
      <c r="B953" s="104">
        <f t="shared" si="2"/>
        <v>952</v>
      </c>
      <c r="C953" s="100" t="s">
        <v>994</v>
      </c>
      <c r="D953" s="106">
        <v>2.0</v>
      </c>
      <c r="E953" s="24">
        <f t="shared" ref="E953:E959" si="294">F952</f>
        <v>45943</v>
      </c>
      <c r="F953" s="24">
        <f t="shared" si="40"/>
        <v>45945</v>
      </c>
      <c r="G953" s="108">
        <f t="shared" ref="G953:G955" si="295">B952</f>
        <v>951</v>
      </c>
      <c r="H953" s="106" t="s">
        <v>23</v>
      </c>
    </row>
    <row r="954" ht="18.75" customHeight="1">
      <c r="A954" s="109"/>
      <c r="B954" s="99">
        <f t="shared" si="2"/>
        <v>953</v>
      </c>
      <c r="C954" s="100" t="s">
        <v>995</v>
      </c>
      <c r="D954" s="101">
        <v>4.0</v>
      </c>
      <c r="E954" s="22">
        <f t="shared" si="294"/>
        <v>45945</v>
      </c>
      <c r="F954" s="22">
        <f t="shared" si="40"/>
        <v>45949</v>
      </c>
      <c r="G954" s="142">
        <f t="shared" si="295"/>
        <v>952</v>
      </c>
      <c r="H954" s="101" t="s">
        <v>23</v>
      </c>
    </row>
    <row r="955" ht="18.75" customHeight="1">
      <c r="A955" s="109"/>
      <c r="B955" s="104">
        <f t="shared" si="2"/>
        <v>954</v>
      </c>
      <c r="C955" s="100" t="s">
        <v>996</v>
      </c>
      <c r="D955" s="115">
        <v>1.0</v>
      </c>
      <c r="E955" s="24">
        <f t="shared" si="294"/>
        <v>45949</v>
      </c>
      <c r="F955" s="24">
        <f t="shared" si="40"/>
        <v>45950</v>
      </c>
      <c r="G955" s="108">
        <f t="shared" si="295"/>
        <v>953</v>
      </c>
      <c r="H955" s="106" t="s">
        <v>49</v>
      </c>
    </row>
    <row r="956" ht="18.75" customHeight="1">
      <c r="A956" s="109"/>
      <c r="B956" s="99">
        <f t="shared" si="2"/>
        <v>955</v>
      </c>
      <c r="C956" s="100" t="s">
        <v>997</v>
      </c>
      <c r="D956" s="101">
        <v>1.0</v>
      </c>
      <c r="E956" s="22">
        <f t="shared" si="294"/>
        <v>45950</v>
      </c>
      <c r="F956" s="22">
        <f t="shared" si="40"/>
        <v>45951</v>
      </c>
      <c r="G956" s="142">
        <f>B918</f>
        <v>917</v>
      </c>
      <c r="H956" s="101" t="s">
        <v>10</v>
      </c>
    </row>
    <row r="957" ht="18.75" customHeight="1">
      <c r="A957" s="109"/>
      <c r="B957" s="104">
        <f t="shared" si="2"/>
        <v>956</v>
      </c>
      <c r="C957" s="100" t="s">
        <v>998</v>
      </c>
      <c r="D957" s="106">
        <v>2.0</v>
      </c>
      <c r="E957" s="24">
        <f t="shared" si="294"/>
        <v>45951</v>
      </c>
      <c r="F957" s="24">
        <f t="shared" si="40"/>
        <v>45953</v>
      </c>
      <c r="G957" s="108">
        <f t="shared" ref="G957:G959" si="296">B956</f>
        <v>955</v>
      </c>
      <c r="H957" s="106" t="s">
        <v>23</v>
      </c>
    </row>
    <row r="958" ht="18.75" customHeight="1">
      <c r="A958" s="109"/>
      <c r="B958" s="99">
        <f t="shared" si="2"/>
        <v>957</v>
      </c>
      <c r="C958" s="100" t="s">
        <v>999</v>
      </c>
      <c r="D958" s="101">
        <v>4.0</v>
      </c>
      <c r="E958" s="22">
        <f t="shared" si="294"/>
        <v>45953</v>
      </c>
      <c r="F958" s="22">
        <f t="shared" si="40"/>
        <v>45957</v>
      </c>
      <c r="G958" s="142">
        <f t="shared" si="296"/>
        <v>956</v>
      </c>
      <c r="H958" s="101" t="s">
        <v>23</v>
      </c>
    </row>
    <row r="959" ht="18.75" customHeight="1">
      <c r="A959" s="109"/>
      <c r="B959" s="104">
        <f t="shared" si="2"/>
        <v>958</v>
      </c>
      <c r="C959" s="100" t="s">
        <v>1000</v>
      </c>
      <c r="D959" s="115">
        <v>1.0</v>
      </c>
      <c r="E959" s="24">
        <f t="shared" si="294"/>
        <v>45957</v>
      </c>
      <c r="F959" s="24">
        <f t="shared" si="40"/>
        <v>45958</v>
      </c>
      <c r="G959" s="107">
        <f t="shared" si="296"/>
        <v>957</v>
      </c>
      <c r="H959" s="106" t="s">
        <v>49</v>
      </c>
    </row>
    <row r="960" ht="18.75" customHeight="1">
      <c r="A960" s="210"/>
      <c r="B960" s="99">
        <f t="shared" si="2"/>
        <v>959</v>
      </c>
      <c r="C960" s="100" t="s">
        <v>1001</v>
      </c>
      <c r="D960" s="101">
        <v>1.0</v>
      </c>
      <c r="E960" s="22">
        <f>F910</f>
        <v>45942</v>
      </c>
      <c r="F960" s="22">
        <f t="shared" si="40"/>
        <v>45943</v>
      </c>
      <c r="G960" s="142">
        <f>B918</f>
        <v>917</v>
      </c>
      <c r="H960" s="101" t="s">
        <v>10</v>
      </c>
    </row>
    <row r="961" ht="18.75" customHeight="1">
      <c r="A961" s="210"/>
      <c r="B961" s="104">
        <f t="shared" si="2"/>
        <v>960</v>
      </c>
      <c r="C961" s="100" t="s">
        <v>1002</v>
      </c>
      <c r="D961" s="106">
        <v>2.0</v>
      </c>
      <c r="E961" s="24">
        <f t="shared" ref="E961:E963" si="297">F960</f>
        <v>45943</v>
      </c>
      <c r="F961" s="24">
        <f t="shared" si="40"/>
        <v>45945</v>
      </c>
      <c r="G961" s="108">
        <f t="shared" ref="G961:G963" si="298">B960</f>
        <v>959</v>
      </c>
      <c r="H961" s="106" t="s">
        <v>23</v>
      </c>
    </row>
    <row r="962" ht="18.75" customHeight="1">
      <c r="A962" s="109"/>
      <c r="B962" s="99">
        <f t="shared" si="2"/>
        <v>961</v>
      </c>
      <c r="C962" s="100" t="s">
        <v>1003</v>
      </c>
      <c r="D962" s="101">
        <v>4.0</v>
      </c>
      <c r="E962" s="22">
        <f t="shared" si="297"/>
        <v>45945</v>
      </c>
      <c r="F962" s="22">
        <f t="shared" si="40"/>
        <v>45949</v>
      </c>
      <c r="G962" s="142">
        <f t="shared" si="298"/>
        <v>960</v>
      </c>
      <c r="H962" s="101" t="s">
        <v>23</v>
      </c>
    </row>
    <row r="963" ht="18.75" customHeight="1">
      <c r="A963" s="109"/>
      <c r="B963" s="104">
        <f t="shared" si="2"/>
        <v>962</v>
      </c>
      <c r="C963" s="100" t="s">
        <v>1004</v>
      </c>
      <c r="D963" s="115">
        <v>1.0</v>
      </c>
      <c r="E963" s="24">
        <f t="shared" si="297"/>
        <v>45949</v>
      </c>
      <c r="F963" s="24">
        <f t="shared" si="40"/>
        <v>45950</v>
      </c>
      <c r="G963" s="108">
        <f t="shared" si="298"/>
        <v>961</v>
      </c>
      <c r="H963" s="106" t="s">
        <v>49</v>
      </c>
    </row>
    <row r="964" ht="18.75" customHeight="1">
      <c r="A964" s="267" t="s">
        <v>438</v>
      </c>
      <c r="B964" s="99">
        <f t="shared" si="2"/>
        <v>963</v>
      </c>
      <c r="C964" s="67" t="s">
        <v>1005</v>
      </c>
      <c r="D964" s="101">
        <v>1.0</v>
      </c>
      <c r="E964" s="22">
        <f>F918</f>
        <v>45952</v>
      </c>
      <c r="F964" s="22">
        <f t="shared" si="40"/>
        <v>45953</v>
      </c>
      <c r="G964" s="142">
        <f>B918</f>
        <v>917</v>
      </c>
      <c r="H964" s="101" t="s">
        <v>10</v>
      </c>
    </row>
    <row r="965" ht="18.75" customHeight="1">
      <c r="A965" s="268" t="s">
        <v>1006</v>
      </c>
      <c r="B965" s="104">
        <f t="shared" si="2"/>
        <v>964</v>
      </c>
      <c r="C965" s="67" t="s">
        <v>1007</v>
      </c>
      <c r="D965" s="106">
        <v>2.0</v>
      </c>
      <c r="E965" s="24">
        <f t="shared" ref="E965:E967" si="299">F964</f>
        <v>45953</v>
      </c>
      <c r="F965" s="24">
        <f t="shared" si="40"/>
        <v>45955</v>
      </c>
      <c r="G965" s="108">
        <f t="shared" ref="G965:G967" si="300">B964</f>
        <v>963</v>
      </c>
      <c r="H965" s="106" t="s">
        <v>23</v>
      </c>
    </row>
    <row r="966" ht="18.75" customHeight="1">
      <c r="A966" s="268" t="s">
        <v>993</v>
      </c>
      <c r="B966" s="99">
        <f t="shared" si="2"/>
        <v>965</v>
      </c>
      <c r="C966" s="67" t="s">
        <v>1008</v>
      </c>
      <c r="D966" s="101">
        <v>4.0</v>
      </c>
      <c r="E966" s="22">
        <f t="shared" si="299"/>
        <v>45955</v>
      </c>
      <c r="F966" s="22">
        <f t="shared" si="40"/>
        <v>45959</v>
      </c>
      <c r="G966" s="142">
        <f t="shared" si="300"/>
        <v>964</v>
      </c>
      <c r="H966" s="101" t="s">
        <v>23</v>
      </c>
    </row>
    <row r="967" ht="18.75" customHeight="1">
      <c r="A967" s="269"/>
      <c r="B967" s="104">
        <f t="shared" si="2"/>
        <v>966</v>
      </c>
      <c r="C967" s="67" t="s">
        <v>1009</v>
      </c>
      <c r="D967" s="115">
        <v>1.0</v>
      </c>
      <c r="E967" s="24">
        <f t="shared" si="299"/>
        <v>45959</v>
      </c>
      <c r="F967" s="24">
        <f t="shared" si="40"/>
        <v>45960</v>
      </c>
      <c r="G967" s="107">
        <f t="shared" si="300"/>
        <v>965</v>
      </c>
      <c r="H967" s="106" t="s">
        <v>49</v>
      </c>
    </row>
    <row r="968" ht="18.75" customHeight="1">
      <c r="A968" s="269"/>
      <c r="B968" s="99">
        <f t="shared" si="2"/>
        <v>967</v>
      </c>
      <c r="C968" s="270" t="s">
        <v>1010</v>
      </c>
      <c r="D968" s="101">
        <v>1.0</v>
      </c>
      <c r="E968" s="22">
        <f>F918</f>
        <v>45952</v>
      </c>
      <c r="F968" s="22">
        <f t="shared" si="40"/>
        <v>45953</v>
      </c>
      <c r="G968" s="31">
        <f>B918</f>
        <v>917</v>
      </c>
      <c r="H968" s="101" t="s">
        <v>10</v>
      </c>
    </row>
    <row r="969" ht="18.75" customHeight="1">
      <c r="A969" s="269"/>
      <c r="B969" s="104">
        <f t="shared" si="2"/>
        <v>968</v>
      </c>
      <c r="C969" s="270" t="s">
        <v>1011</v>
      </c>
      <c r="D969" s="106">
        <v>2.0</v>
      </c>
      <c r="E969" s="24">
        <f t="shared" ref="E969:E971" si="301">F968</f>
        <v>45953</v>
      </c>
      <c r="F969" s="24">
        <f t="shared" si="40"/>
        <v>45955</v>
      </c>
      <c r="G969" s="108">
        <f t="shared" ref="G969:G971" si="302">B968</f>
        <v>967</v>
      </c>
      <c r="H969" s="106" t="s">
        <v>23</v>
      </c>
    </row>
    <row r="970" ht="18.75" customHeight="1">
      <c r="A970" s="271"/>
      <c r="B970" s="99">
        <f t="shared" si="2"/>
        <v>969</v>
      </c>
      <c r="C970" s="270" t="s">
        <v>1012</v>
      </c>
      <c r="D970" s="101">
        <v>4.0</v>
      </c>
      <c r="E970" s="22">
        <f t="shared" si="301"/>
        <v>45955</v>
      </c>
      <c r="F970" s="22">
        <f t="shared" si="40"/>
        <v>45959</v>
      </c>
      <c r="G970" s="142">
        <f t="shared" si="302"/>
        <v>968</v>
      </c>
      <c r="H970" s="101" t="s">
        <v>23</v>
      </c>
    </row>
    <row r="971" ht="18.75" customHeight="1">
      <c r="A971" s="269"/>
      <c r="B971" s="104">
        <f t="shared" si="2"/>
        <v>970</v>
      </c>
      <c r="C971" s="270" t="s">
        <v>1013</v>
      </c>
      <c r="D971" s="115">
        <v>1.0</v>
      </c>
      <c r="E971" s="24">
        <f t="shared" si="301"/>
        <v>45959</v>
      </c>
      <c r="F971" s="24">
        <f t="shared" si="40"/>
        <v>45960</v>
      </c>
      <c r="G971" s="107">
        <f t="shared" si="302"/>
        <v>969</v>
      </c>
      <c r="H971" s="106" t="s">
        <v>49</v>
      </c>
    </row>
    <row r="972" ht="18.75" customHeight="1">
      <c r="A972" s="272" t="s">
        <v>332</v>
      </c>
      <c r="B972" s="104">
        <f t="shared" si="2"/>
        <v>971</v>
      </c>
      <c r="C972" s="67" t="s">
        <v>1014</v>
      </c>
      <c r="D972" s="106">
        <v>1.0</v>
      </c>
      <c r="E972" s="24">
        <f>F918</f>
        <v>45952</v>
      </c>
      <c r="F972" s="24">
        <f t="shared" si="40"/>
        <v>45953</v>
      </c>
      <c r="G972" s="107">
        <f>B918</f>
        <v>917</v>
      </c>
      <c r="H972" s="106" t="s">
        <v>10</v>
      </c>
    </row>
    <row r="973" ht="18.75" customHeight="1">
      <c r="A973" s="273" t="s">
        <v>334</v>
      </c>
      <c r="B973" s="99">
        <f t="shared" si="2"/>
        <v>972</v>
      </c>
      <c r="C973" s="67" t="s">
        <v>1015</v>
      </c>
      <c r="D973" s="101">
        <v>2.0</v>
      </c>
      <c r="E973" s="24">
        <f t="shared" ref="E973:E975" si="303">F972</f>
        <v>45953</v>
      </c>
      <c r="F973" s="22">
        <f t="shared" si="40"/>
        <v>45955</v>
      </c>
      <c r="G973" s="142">
        <f t="shared" ref="G973:G975" si="304">B972</f>
        <v>971</v>
      </c>
      <c r="H973" s="101" t="s">
        <v>23</v>
      </c>
    </row>
    <row r="974" ht="18.75" customHeight="1">
      <c r="A974" s="19" t="s">
        <v>993</v>
      </c>
      <c r="B974" s="104">
        <f t="shared" si="2"/>
        <v>973</v>
      </c>
      <c r="C974" s="67" t="s">
        <v>1016</v>
      </c>
      <c r="D974" s="106">
        <v>4.0</v>
      </c>
      <c r="E974" s="22">
        <f t="shared" si="303"/>
        <v>45955</v>
      </c>
      <c r="F974" s="24">
        <f t="shared" si="40"/>
        <v>45959</v>
      </c>
      <c r="G974" s="107">
        <f t="shared" si="304"/>
        <v>972</v>
      </c>
      <c r="H974" s="106" t="s">
        <v>23</v>
      </c>
    </row>
    <row r="975" ht="18.75" customHeight="1">
      <c r="A975" s="215"/>
      <c r="B975" s="99">
        <f t="shared" si="2"/>
        <v>974</v>
      </c>
      <c r="C975" s="67" t="s">
        <v>1017</v>
      </c>
      <c r="D975" s="110">
        <v>1.0</v>
      </c>
      <c r="E975" s="24">
        <f t="shared" si="303"/>
        <v>45959</v>
      </c>
      <c r="F975" s="22">
        <f t="shared" si="40"/>
        <v>45960</v>
      </c>
      <c r="G975" s="31">
        <f t="shared" si="304"/>
        <v>973</v>
      </c>
      <c r="H975" s="101" t="s">
        <v>49</v>
      </c>
    </row>
    <row r="976" ht="18.75" customHeight="1">
      <c r="A976" s="215"/>
      <c r="B976" s="104">
        <f t="shared" si="2"/>
        <v>975</v>
      </c>
      <c r="C976" s="270" t="s">
        <v>1018</v>
      </c>
      <c r="D976" s="106">
        <v>1.0</v>
      </c>
      <c r="E976" s="22">
        <f>F918</f>
        <v>45952</v>
      </c>
      <c r="F976" s="24">
        <f t="shared" si="40"/>
        <v>45953</v>
      </c>
      <c r="G976" s="107">
        <f>B918</f>
        <v>917</v>
      </c>
      <c r="H976" s="106" t="s">
        <v>10</v>
      </c>
    </row>
    <row r="977" ht="18.75" customHeight="1">
      <c r="A977" s="215"/>
      <c r="B977" s="99">
        <f t="shared" si="2"/>
        <v>976</v>
      </c>
      <c r="C977" s="270" t="s">
        <v>1019</v>
      </c>
      <c r="D977" s="101">
        <v>2.0</v>
      </c>
      <c r="E977" s="24">
        <f t="shared" ref="E977:E979" si="305">F976</f>
        <v>45953</v>
      </c>
      <c r="F977" s="22">
        <f t="shared" si="40"/>
        <v>45955</v>
      </c>
      <c r="G977" s="31">
        <f t="shared" ref="G977:G979" si="306">B976</f>
        <v>975</v>
      </c>
      <c r="H977" s="101" t="s">
        <v>23</v>
      </c>
    </row>
    <row r="978" ht="18.75" customHeight="1">
      <c r="A978" s="215"/>
      <c r="B978" s="104">
        <f t="shared" si="2"/>
        <v>977</v>
      </c>
      <c r="C978" s="270" t="s">
        <v>1020</v>
      </c>
      <c r="D978" s="106">
        <v>4.0</v>
      </c>
      <c r="E978" s="22">
        <f t="shared" si="305"/>
        <v>45955</v>
      </c>
      <c r="F978" s="24">
        <f t="shared" si="40"/>
        <v>45959</v>
      </c>
      <c r="G978" s="107">
        <f t="shared" si="306"/>
        <v>976</v>
      </c>
      <c r="H978" s="106" t="s">
        <v>23</v>
      </c>
    </row>
    <row r="979" ht="18.75" customHeight="1">
      <c r="A979" s="215"/>
      <c r="B979" s="99">
        <f t="shared" si="2"/>
        <v>978</v>
      </c>
      <c r="C979" s="270" t="s">
        <v>1021</v>
      </c>
      <c r="D979" s="110">
        <v>1.0</v>
      </c>
      <c r="E979" s="24">
        <f t="shared" si="305"/>
        <v>45959</v>
      </c>
      <c r="F979" s="22">
        <f t="shared" si="40"/>
        <v>45960</v>
      </c>
      <c r="G979" s="31">
        <f t="shared" si="306"/>
        <v>977</v>
      </c>
      <c r="H979" s="101" t="s">
        <v>49</v>
      </c>
    </row>
    <row r="980" ht="18.75" customHeight="1">
      <c r="A980" s="274" t="s">
        <v>343</v>
      </c>
      <c r="B980" s="99">
        <f t="shared" si="2"/>
        <v>979</v>
      </c>
      <c r="C980" s="67" t="s">
        <v>1022</v>
      </c>
      <c r="D980" s="101">
        <v>1.0</v>
      </c>
      <c r="E980" s="22">
        <f>F918</f>
        <v>45952</v>
      </c>
      <c r="F980" s="22">
        <f t="shared" si="40"/>
        <v>45953</v>
      </c>
      <c r="G980" s="31">
        <f>B918</f>
        <v>917</v>
      </c>
      <c r="H980" s="101" t="s">
        <v>10</v>
      </c>
    </row>
    <row r="981" ht="18.75" customHeight="1">
      <c r="A981" s="268" t="s">
        <v>993</v>
      </c>
      <c r="B981" s="104">
        <f t="shared" si="2"/>
        <v>980</v>
      </c>
      <c r="C981" s="67" t="s">
        <v>1023</v>
      </c>
      <c r="D981" s="106">
        <v>2.0</v>
      </c>
      <c r="E981" s="24">
        <f t="shared" ref="E981:E983" si="307">F980</f>
        <v>45953</v>
      </c>
      <c r="F981" s="24">
        <f t="shared" si="40"/>
        <v>45955</v>
      </c>
      <c r="G981" s="108">
        <f t="shared" ref="G981:G983" si="308">B980</f>
        <v>979</v>
      </c>
      <c r="H981" s="106" t="s">
        <v>23</v>
      </c>
    </row>
    <row r="982" ht="18.75" customHeight="1">
      <c r="A982" s="269"/>
      <c r="B982" s="99">
        <f t="shared" si="2"/>
        <v>981</v>
      </c>
      <c r="C982" s="67" t="s">
        <v>1024</v>
      </c>
      <c r="D982" s="101">
        <v>4.0</v>
      </c>
      <c r="E982" s="22">
        <f t="shared" si="307"/>
        <v>45955</v>
      </c>
      <c r="F982" s="22">
        <f t="shared" si="40"/>
        <v>45959</v>
      </c>
      <c r="G982" s="142">
        <f t="shared" si="308"/>
        <v>980</v>
      </c>
      <c r="H982" s="101" t="s">
        <v>23</v>
      </c>
    </row>
    <row r="983" ht="18.75" customHeight="1">
      <c r="A983" s="269"/>
      <c r="B983" s="104">
        <f t="shared" si="2"/>
        <v>982</v>
      </c>
      <c r="C983" s="67" t="s">
        <v>1025</v>
      </c>
      <c r="D983" s="115">
        <v>1.0</v>
      </c>
      <c r="E983" s="24">
        <f t="shared" si="307"/>
        <v>45959</v>
      </c>
      <c r="F983" s="24">
        <f t="shared" si="40"/>
        <v>45960</v>
      </c>
      <c r="G983" s="108">
        <f t="shared" si="308"/>
        <v>981</v>
      </c>
      <c r="H983" s="106" t="s">
        <v>49</v>
      </c>
    </row>
    <row r="984" ht="18.75" customHeight="1">
      <c r="A984" s="269"/>
      <c r="B984" s="99">
        <f t="shared" si="2"/>
        <v>983</v>
      </c>
      <c r="C984" s="270" t="s">
        <v>1026</v>
      </c>
      <c r="D984" s="101">
        <v>1.0</v>
      </c>
      <c r="E984" s="22">
        <f>F918</f>
        <v>45952</v>
      </c>
      <c r="F984" s="22">
        <f t="shared" si="40"/>
        <v>45953</v>
      </c>
      <c r="G984" s="31">
        <f>B918</f>
        <v>917</v>
      </c>
      <c r="H984" s="101" t="s">
        <v>10</v>
      </c>
    </row>
    <row r="985" ht="18.75" customHeight="1">
      <c r="A985" s="269"/>
      <c r="B985" s="104">
        <f t="shared" si="2"/>
        <v>984</v>
      </c>
      <c r="C985" s="270" t="s">
        <v>1027</v>
      </c>
      <c r="D985" s="106">
        <v>2.0</v>
      </c>
      <c r="E985" s="24">
        <f t="shared" ref="E985:E987" si="309">F984</f>
        <v>45953</v>
      </c>
      <c r="F985" s="24">
        <f t="shared" si="40"/>
        <v>45955</v>
      </c>
      <c r="G985" s="108">
        <f t="shared" ref="G985:G987" si="310">B984</f>
        <v>983</v>
      </c>
      <c r="H985" s="106" t="s">
        <v>23</v>
      </c>
    </row>
    <row r="986" ht="18.75" customHeight="1">
      <c r="A986" s="269"/>
      <c r="B986" s="99">
        <f t="shared" si="2"/>
        <v>985</v>
      </c>
      <c r="C986" s="270" t="s">
        <v>1028</v>
      </c>
      <c r="D986" s="101">
        <v>4.0</v>
      </c>
      <c r="E986" s="22">
        <f t="shared" si="309"/>
        <v>45955</v>
      </c>
      <c r="F986" s="22">
        <f t="shared" si="40"/>
        <v>45959</v>
      </c>
      <c r="G986" s="142">
        <f t="shared" si="310"/>
        <v>984</v>
      </c>
      <c r="H986" s="101" t="s">
        <v>23</v>
      </c>
    </row>
    <row r="987" ht="18.75" customHeight="1">
      <c r="A987" s="269"/>
      <c r="B987" s="104">
        <f t="shared" si="2"/>
        <v>986</v>
      </c>
      <c r="C987" s="270" t="s">
        <v>1029</v>
      </c>
      <c r="D987" s="115">
        <v>1.0</v>
      </c>
      <c r="E987" s="24">
        <f t="shared" si="309"/>
        <v>45959</v>
      </c>
      <c r="F987" s="24">
        <f t="shared" si="40"/>
        <v>45960</v>
      </c>
      <c r="G987" s="108">
        <f t="shared" si="310"/>
        <v>985</v>
      </c>
      <c r="H987" s="106" t="s">
        <v>49</v>
      </c>
    </row>
    <row r="988" ht="18.75" customHeight="1">
      <c r="A988" s="272" t="s">
        <v>353</v>
      </c>
      <c r="B988" s="104">
        <f t="shared" si="2"/>
        <v>987</v>
      </c>
      <c r="C988" s="67" t="s">
        <v>1030</v>
      </c>
      <c r="D988" s="106">
        <v>1.0</v>
      </c>
      <c r="E988" s="24">
        <f>F918</f>
        <v>45952</v>
      </c>
      <c r="F988" s="24">
        <f t="shared" si="40"/>
        <v>45953</v>
      </c>
      <c r="G988" s="107">
        <f>B918</f>
        <v>917</v>
      </c>
      <c r="H988" s="106" t="s">
        <v>10</v>
      </c>
    </row>
    <row r="989" ht="18.75" customHeight="1">
      <c r="A989" s="19" t="s">
        <v>993</v>
      </c>
      <c r="B989" s="99">
        <f t="shared" si="2"/>
        <v>988</v>
      </c>
      <c r="C989" s="67" t="s">
        <v>1031</v>
      </c>
      <c r="D989" s="101">
        <v>2.0</v>
      </c>
      <c r="E989" s="24">
        <f t="shared" ref="E989:E991" si="311">F988</f>
        <v>45953</v>
      </c>
      <c r="F989" s="22">
        <f t="shared" si="40"/>
        <v>45955</v>
      </c>
      <c r="G989" s="142">
        <f t="shared" ref="G989:G991" si="312">B988</f>
        <v>987</v>
      </c>
      <c r="H989" s="101" t="s">
        <v>23</v>
      </c>
    </row>
    <row r="990" ht="18.75" customHeight="1">
      <c r="A990" s="215"/>
      <c r="B990" s="104">
        <f t="shared" si="2"/>
        <v>989</v>
      </c>
      <c r="C990" s="67" t="s">
        <v>1032</v>
      </c>
      <c r="D990" s="106">
        <v>4.0</v>
      </c>
      <c r="E990" s="22">
        <f t="shared" si="311"/>
        <v>45955</v>
      </c>
      <c r="F990" s="24">
        <f t="shared" si="40"/>
        <v>45959</v>
      </c>
      <c r="G990" s="108">
        <f t="shared" si="312"/>
        <v>988</v>
      </c>
      <c r="H990" s="106" t="s">
        <v>23</v>
      </c>
    </row>
    <row r="991" ht="18.75" customHeight="1">
      <c r="A991" s="215"/>
      <c r="B991" s="99">
        <f t="shared" si="2"/>
        <v>990</v>
      </c>
      <c r="C991" s="67" t="s">
        <v>1033</v>
      </c>
      <c r="D991" s="110">
        <v>1.0</v>
      </c>
      <c r="E991" s="24">
        <f t="shared" si="311"/>
        <v>45959</v>
      </c>
      <c r="F991" s="22">
        <f t="shared" si="40"/>
        <v>45960</v>
      </c>
      <c r="G991" s="142">
        <f t="shared" si="312"/>
        <v>989</v>
      </c>
      <c r="H991" s="101" t="s">
        <v>49</v>
      </c>
    </row>
    <row r="992" ht="18.75" customHeight="1">
      <c r="A992" s="215"/>
      <c r="B992" s="104">
        <f t="shared" si="2"/>
        <v>991</v>
      </c>
      <c r="C992" s="270" t="s">
        <v>1034</v>
      </c>
      <c r="D992" s="106">
        <v>1.0</v>
      </c>
      <c r="E992" s="22">
        <f>F918</f>
        <v>45952</v>
      </c>
      <c r="F992" s="24">
        <f t="shared" si="40"/>
        <v>45953</v>
      </c>
      <c r="G992" s="108">
        <f>B918</f>
        <v>917</v>
      </c>
      <c r="H992" s="106" t="s">
        <v>10</v>
      </c>
    </row>
    <row r="993" ht="18.75" customHeight="1">
      <c r="A993" s="215"/>
      <c r="B993" s="99">
        <f t="shared" si="2"/>
        <v>992</v>
      </c>
      <c r="C993" s="270" t="s">
        <v>1035</v>
      </c>
      <c r="D993" s="101">
        <v>2.0</v>
      </c>
      <c r="E993" s="24">
        <f t="shared" ref="E993:E995" si="313">F992</f>
        <v>45953</v>
      </c>
      <c r="F993" s="22">
        <f t="shared" si="40"/>
        <v>45955</v>
      </c>
      <c r="G993" s="142">
        <f t="shared" ref="G993:G995" si="314">B992</f>
        <v>991</v>
      </c>
      <c r="H993" s="101" t="s">
        <v>23</v>
      </c>
    </row>
    <row r="994" ht="18.75" customHeight="1">
      <c r="A994" s="215"/>
      <c r="B994" s="104">
        <f t="shared" si="2"/>
        <v>993</v>
      </c>
      <c r="C994" s="270" t="s">
        <v>1036</v>
      </c>
      <c r="D994" s="106">
        <v>4.0</v>
      </c>
      <c r="E994" s="22">
        <f t="shared" si="313"/>
        <v>45955</v>
      </c>
      <c r="F994" s="24">
        <f t="shared" si="40"/>
        <v>45959</v>
      </c>
      <c r="G994" s="108">
        <f t="shared" si="314"/>
        <v>992</v>
      </c>
      <c r="H994" s="106" t="s">
        <v>23</v>
      </c>
    </row>
    <row r="995" ht="18.75" customHeight="1">
      <c r="A995" s="215"/>
      <c r="B995" s="99">
        <f t="shared" si="2"/>
        <v>994</v>
      </c>
      <c r="C995" s="270" t="s">
        <v>1037</v>
      </c>
      <c r="D995" s="110">
        <v>1.0</v>
      </c>
      <c r="E995" s="24">
        <f t="shared" si="313"/>
        <v>45959</v>
      </c>
      <c r="F995" s="22">
        <f t="shared" si="40"/>
        <v>45960</v>
      </c>
      <c r="G995" s="142">
        <f t="shared" si="314"/>
        <v>993</v>
      </c>
      <c r="H995" s="101" t="s">
        <v>49</v>
      </c>
    </row>
    <row r="996" ht="18.75" customHeight="1">
      <c r="A996" s="274" t="s">
        <v>363</v>
      </c>
      <c r="B996" s="99">
        <f t="shared" si="2"/>
        <v>995</v>
      </c>
      <c r="C996" s="67" t="s">
        <v>1038</v>
      </c>
      <c r="D996" s="101">
        <v>1.0</v>
      </c>
      <c r="E996" s="22">
        <f>F918</f>
        <v>45952</v>
      </c>
      <c r="F996" s="22">
        <f t="shared" si="40"/>
        <v>45953</v>
      </c>
      <c r="G996" s="31">
        <f>B918</f>
        <v>917</v>
      </c>
      <c r="H996" s="101" t="s">
        <v>10</v>
      </c>
    </row>
    <row r="997" ht="18.75" customHeight="1">
      <c r="A997" s="268" t="s">
        <v>993</v>
      </c>
      <c r="B997" s="104">
        <f t="shared" si="2"/>
        <v>996</v>
      </c>
      <c r="C997" s="67" t="s">
        <v>1039</v>
      </c>
      <c r="D997" s="106">
        <v>2.0</v>
      </c>
      <c r="E997" s="24">
        <f t="shared" ref="E997:E999" si="315">F996</f>
        <v>45953</v>
      </c>
      <c r="F997" s="24">
        <f t="shared" si="40"/>
        <v>45955</v>
      </c>
      <c r="G997" s="108">
        <f t="shared" ref="G997:G999" si="316">B996</f>
        <v>995</v>
      </c>
      <c r="H997" s="106" t="s">
        <v>23</v>
      </c>
    </row>
    <row r="998" ht="18.75" customHeight="1">
      <c r="A998" s="269"/>
      <c r="B998" s="99">
        <f t="shared" si="2"/>
        <v>997</v>
      </c>
      <c r="C998" s="67" t="s">
        <v>1040</v>
      </c>
      <c r="D998" s="101">
        <v>4.0</v>
      </c>
      <c r="E998" s="22">
        <f t="shared" si="315"/>
        <v>45955</v>
      </c>
      <c r="F998" s="22">
        <f t="shared" si="40"/>
        <v>45959</v>
      </c>
      <c r="G998" s="142">
        <f t="shared" si="316"/>
        <v>996</v>
      </c>
      <c r="H998" s="101" t="s">
        <v>23</v>
      </c>
    </row>
    <row r="999" ht="18.75" customHeight="1">
      <c r="A999" s="269"/>
      <c r="B999" s="104">
        <f t="shared" si="2"/>
        <v>998</v>
      </c>
      <c r="C999" s="67" t="s">
        <v>1041</v>
      </c>
      <c r="D999" s="115">
        <v>1.0</v>
      </c>
      <c r="E999" s="24">
        <f t="shared" si="315"/>
        <v>45959</v>
      </c>
      <c r="F999" s="24">
        <f t="shared" si="40"/>
        <v>45960</v>
      </c>
      <c r="G999" s="108">
        <f t="shared" si="316"/>
        <v>997</v>
      </c>
      <c r="H999" s="106" t="s">
        <v>49</v>
      </c>
    </row>
    <row r="1000" ht="18.75" customHeight="1">
      <c r="A1000" s="269"/>
      <c r="B1000" s="99">
        <f t="shared" si="2"/>
        <v>999</v>
      </c>
      <c r="C1000" s="270" t="s">
        <v>1042</v>
      </c>
      <c r="D1000" s="101">
        <v>1.0</v>
      </c>
      <c r="E1000" s="22">
        <f>F918</f>
        <v>45952</v>
      </c>
      <c r="F1000" s="22">
        <f t="shared" si="40"/>
        <v>45953</v>
      </c>
      <c r="G1000" s="142">
        <f>B918</f>
        <v>917</v>
      </c>
      <c r="H1000" s="101" t="s">
        <v>10</v>
      </c>
    </row>
    <row r="1001" ht="18.75" customHeight="1">
      <c r="A1001" s="269"/>
      <c r="B1001" s="104">
        <f t="shared" si="2"/>
        <v>1000</v>
      </c>
      <c r="C1001" s="270" t="s">
        <v>1043</v>
      </c>
      <c r="D1001" s="106">
        <v>2.0</v>
      </c>
      <c r="E1001" s="24">
        <f t="shared" ref="E1001:E1003" si="317">F1000</f>
        <v>45953</v>
      </c>
      <c r="F1001" s="24">
        <f t="shared" si="40"/>
        <v>45955</v>
      </c>
      <c r="G1001" s="108">
        <f t="shared" ref="G1001:G1003" si="318">B1000</f>
        <v>999</v>
      </c>
      <c r="H1001" s="106" t="s">
        <v>23</v>
      </c>
    </row>
    <row r="1002" ht="18.75" customHeight="1">
      <c r="A1002" s="269"/>
      <c r="B1002" s="99">
        <f t="shared" si="2"/>
        <v>1001</v>
      </c>
      <c r="C1002" s="270" t="s">
        <v>1044</v>
      </c>
      <c r="D1002" s="101">
        <v>4.0</v>
      </c>
      <c r="E1002" s="22">
        <f t="shared" si="317"/>
        <v>45955</v>
      </c>
      <c r="F1002" s="22">
        <f t="shared" si="40"/>
        <v>45959</v>
      </c>
      <c r="G1002" s="142">
        <f t="shared" si="318"/>
        <v>1000</v>
      </c>
      <c r="H1002" s="101" t="s">
        <v>23</v>
      </c>
    </row>
    <row r="1003" ht="18.75" customHeight="1">
      <c r="A1003" s="269"/>
      <c r="B1003" s="104">
        <f t="shared" si="2"/>
        <v>1002</v>
      </c>
      <c r="C1003" s="270" t="s">
        <v>1045</v>
      </c>
      <c r="D1003" s="115">
        <v>1.0</v>
      </c>
      <c r="E1003" s="24">
        <f t="shared" si="317"/>
        <v>45959</v>
      </c>
      <c r="F1003" s="24">
        <f t="shared" si="40"/>
        <v>45960</v>
      </c>
      <c r="G1003" s="108">
        <f t="shared" si="318"/>
        <v>1001</v>
      </c>
      <c r="H1003" s="106" t="s">
        <v>49</v>
      </c>
    </row>
    <row r="1004" ht="18.75" customHeight="1">
      <c r="A1004" s="272" t="s">
        <v>373</v>
      </c>
      <c r="B1004" s="104">
        <f t="shared" si="2"/>
        <v>1003</v>
      </c>
      <c r="C1004" s="67" t="s">
        <v>1046</v>
      </c>
      <c r="D1004" s="106">
        <v>1.0</v>
      </c>
      <c r="E1004" s="24">
        <f>F918</f>
        <v>45952</v>
      </c>
      <c r="F1004" s="24">
        <f t="shared" si="40"/>
        <v>45953</v>
      </c>
      <c r="G1004" s="107">
        <f>B918</f>
        <v>917</v>
      </c>
      <c r="H1004" s="106" t="s">
        <v>10</v>
      </c>
    </row>
    <row r="1005" ht="18.75" customHeight="1">
      <c r="A1005" s="273" t="s">
        <v>375</v>
      </c>
      <c r="B1005" s="99">
        <f t="shared" si="2"/>
        <v>1004</v>
      </c>
      <c r="C1005" s="67" t="s">
        <v>1047</v>
      </c>
      <c r="D1005" s="101">
        <v>2.0</v>
      </c>
      <c r="E1005" s="24">
        <f t="shared" ref="E1005:E1007" si="319">F1004</f>
        <v>45953</v>
      </c>
      <c r="F1005" s="22">
        <f t="shared" si="40"/>
        <v>45955</v>
      </c>
      <c r="G1005" s="142">
        <f t="shared" ref="G1005:G1007" si="320">B1004</f>
        <v>1003</v>
      </c>
      <c r="H1005" s="101" t="s">
        <v>23</v>
      </c>
    </row>
    <row r="1006" ht="18.75" customHeight="1">
      <c r="A1006" s="19" t="s">
        <v>993</v>
      </c>
      <c r="B1006" s="104">
        <f t="shared" si="2"/>
        <v>1005</v>
      </c>
      <c r="C1006" s="67" t="s">
        <v>1048</v>
      </c>
      <c r="D1006" s="106">
        <v>4.0</v>
      </c>
      <c r="E1006" s="22">
        <f t="shared" si="319"/>
        <v>45955</v>
      </c>
      <c r="F1006" s="24">
        <f t="shared" si="40"/>
        <v>45959</v>
      </c>
      <c r="G1006" s="108">
        <f t="shared" si="320"/>
        <v>1004</v>
      </c>
      <c r="H1006" s="106" t="s">
        <v>23</v>
      </c>
    </row>
    <row r="1007" ht="18.75" customHeight="1">
      <c r="A1007" s="215"/>
      <c r="B1007" s="99">
        <f t="shared" si="2"/>
        <v>1006</v>
      </c>
      <c r="C1007" s="67" t="s">
        <v>1049</v>
      </c>
      <c r="D1007" s="110">
        <v>1.0</v>
      </c>
      <c r="E1007" s="24">
        <f t="shared" si="319"/>
        <v>45959</v>
      </c>
      <c r="F1007" s="22">
        <f t="shared" si="40"/>
        <v>45960</v>
      </c>
      <c r="G1007" s="142">
        <f t="shared" si="320"/>
        <v>1005</v>
      </c>
      <c r="H1007" s="101" t="s">
        <v>49</v>
      </c>
    </row>
    <row r="1008" ht="18.75" customHeight="1">
      <c r="A1008" s="215"/>
      <c r="B1008" s="104">
        <f t="shared" si="2"/>
        <v>1007</v>
      </c>
      <c r="C1008" s="275" t="s">
        <v>379</v>
      </c>
      <c r="D1008" s="106">
        <v>1.0</v>
      </c>
      <c r="E1008" s="22">
        <f>F918</f>
        <v>45952</v>
      </c>
      <c r="F1008" s="24">
        <f t="shared" si="40"/>
        <v>45953</v>
      </c>
      <c r="G1008" s="108">
        <f>B918</f>
        <v>917</v>
      </c>
      <c r="H1008" s="106" t="s">
        <v>10</v>
      </c>
    </row>
    <row r="1009" ht="18.75" customHeight="1">
      <c r="A1009" s="215"/>
      <c r="B1009" s="99">
        <f t="shared" si="2"/>
        <v>1008</v>
      </c>
      <c r="C1009" s="275" t="s">
        <v>380</v>
      </c>
      <c r="D1009" s="101">
        <v>2.0</v>
      </c>
      <c r="E1009" s="24">
        <f t="shared" ref="E1009:E1011" si="321">F1008</f>
        <v>45953</v>
      </c>
      <c r="F1009" s="22">
        <f t="shared" si="40"/>
        <v>45955</v>
      </c>
      <c r="G1009" s="142">
        <f t="shared" ref="G1009:G1011" si="322">B1008</f>
        <v>1007</v>
      </c>
      <c r="H1009" s="101" t="s">
        <v>23</v>
      </c>
    </row>
    <row r="1010" ht="18.75" customHeight="1">
      <c r="A1010" s="215"/>
      <c r="B1010" s="104">
        <f t="shared" si="2"/>
        <v>1009</v>
      </c>
      <c r="C1010" s="275" t="s">
        <v>381</v>
      </c>
      <c r="D1010" s="106">
        <v>4.0</v>
      </c>
      <c r="E1010" s="22">
        <f t="shared" si="321"/>
        <v>45955</v>
      </c>
      <c r="F1010" s="24">
        <f t="shared" si="40"/>
        <v>45959</v>
      </c>
      <c r="G1010" s="142">
        <f t="shared" si="322"/>
        <v>1008</v>
      </c>
      <c r="H1010" s="106" t="s">
        <v>23</v>
      </c>
    </row>
    <row r="1011" ht="18.75" customHeight="1">
      <c r="A1011" s="215"/>
      <c r="B1011" s="99">
        <f t="shared" si="2"/>
        <v>1010</v>
      </c>
      <c r="C1011" s="275" t="s">
        <v>382</v>
      </c>
      <c r="D1011" s="110">
        <v>1.0</v>
      </c>
      <c r="E1011" s="24">
        <f t="shared" si="321"/>
        <v>45959</v>
      </c>
      <c r="F1011" s="22">
        <f t="shared" si="40"/>
        <v>45960</v>
      </c>
      <c r="G1011" s="142">
        <f t="shared" si="322"/>
        <v>1009</v>
      </c>
      <c r="H1011" s="101" t="s">
        <v>49</v>
      </c>
    </row>
    <row r="1012" ht="18.75" customHeight="1">
      <c r="A1012" s="215"/>
      <c r="B1012" s="99">
        <f t="shared" si="2"/>
        <v>1011</v>
      </c>
      <c r="C1012" s="20" t="s">
        <v>383</v>
      </c>
      <c r="D1012" s="106">
        <v>1.0</v>
      </c>
      <c r="E1012" s="24">
        <f>F918</f>
        <v>45952</v>
      </c>
      <c r="F1012" s="22">
        <f t="shared" si="40"/>
        <v>45953</v>
      </c>
      <c r="G1012" s="142">
        <f>B918</f>
        <v>917</v>
      </c>
      <c r="H1012" s="106" t="s">
        <v>10</v>
      </c>
    </row>
    <row r="1013" ht="18.75" customHeight="1">
      <c r="A1013" s="215"/>
      <c r="B1013" s="99">
        <f t="shared" si="2"/>
        <v>1012</v>
      </c>
      <c r="C1013" s="20" t="s">
        <v>384</v>
      </c>
      <c r="D1013" s="101">
        <v>2.0</v>
      </c>
      <c r="E1013" s="24">
        <f t="shared" ref="E1013:E1015" si="323">F1012</f>
        <v>45953</v>
      </c>
      <c r="F1013" s="22">
        <f t="shared" si="40"/>
        <v>45955</v>
      </c>
      <c r="G1013" s="142">
        <f t="shared" ref="G1013:G1015" si="324">B1012</f>
        <v>1011</v>
      </c>
      <c r="H1013" s="101" t="s">
        <v>23</v>
      </c>
    </row>
    <row r="1014" ht="18.75" customHeight="1">
      <c r="A1014" s="215"/>
      <c r="B1014" s="99">
        <f t="shared" si="2"/>
        <v>1013</v>
      </c>
      <c r="C1014" s="20" t="s">
        <v>385</v>
      </c>
      <c r="D1014" s="106">
        <v>4.0</v>
      </c>
      <c r="E1014" s="22">
        <f t="shared" si="323"/>
        <v>45955</v>
      </c>
      <c r="F1014" s="22">
        <f t="shared" si="40"/>
        <v>45959</v>
      </c>
      <c r="G1014" s="142">
        <f t="shared" si="324"/>
        <v>1012</v>
      </c>
      <c r="H1014" s="106" t="s">
        <v>23</v>
      </c>
    </row>
    <row r="1015" ht="18.75" customHeight="1">
      <c r="A1015" s="215"/>
      <c r="B1015" s="99">
        <f t="shared" si="2"/>
        <v>1014</v>
      </c>
      <c r="C1015" s="20" t="s">
        <v>386</v>
      </c>
      <c r="D1015" s="110">
        <v>1.0</v>
      </c>
      <c r="E1015" s="24">
        <f t="shared" si="323"/>
        <v>45959</v>
      </c>
      <c r="F1015" s="22">
        <f t="shared" si="40"/>
        <v>45960</v>
      </c>
      <c r="G1015" s="142">
        <f t="shared" si="324"/>
        <v>1013</v>
      </c>
      <c r="H1015" s="101" t="s">
        <v>49</v>
      </c>
    </row>
    <row r="1016" ht="18.75" customHeight="1">
      <c r="A1016" s="215"/>
      <c r="B1016" s="99">
        <f t="shared" si="2"/>
        <v>1015</v>
      </c>
      <c r="C1016" s="270" t="s">
        <v>1050</v>
      </c>
      <c r="D1016" s="106">
        <v>1.0</v>
      </c>
      <c r="E1016" s="24">
        <f>F918</f>
        <v>45952</v>
      </c>
      <c r="F1016" s="22">
        <f t="shared" si="40"/>
        <v>45953</v>
      </c>
      <c r="G1016" s="142">
        <f>B918</f>
        <v>917</v>
      </c>
      <c r="H1016" s="106" t="s">
        <v>10</v>
      </c>
    </row>
    <row r="1017" ht="18.75" customHeight="1">
      <c r="A1017" s="215"/>
      <c r="B1017" s="99">
        <f t="shared" si="2"/>
        <v>1016</v>
      </c>
      <c r="C1017" s="270" t="s">
        <v>1051</v>
      </c>
      <c r="D1017" s="101">
        <v>2.0</v>
      </c>
      <c r="E1017" s="24">
        <f t="shared" ref="E1017:E1019" si="325">F1016</f>
        <v>45953</v>
      </c>
      <c r="F1017" s="22">
        <f t="shared" si="40"/>
        <v>45955</v>
      </c>
      <c r="G1017" s="142">
        <f t="shared" ref="G1017:G1019" si="326">B1016</f>
        <v>1015</v>
      </c>
      <c r="H1017" s="101" t="s">
        <v>23</v>
      </c>
    </row>
    <row r="1018" ht="18.75" customHeight="1">
      <c r="A1018" s="215"/>
      <c r="B1018" s="99">
        <f t="shared" si="2"/>
        <v>1017</v>
      </c>
      <c r="C1018" s="270" t="s">
        <v>1052</v>
      </c>
      <c r="D1018" s="106">
        <v>4.0</v>
      </c>
      <c r="E1018" s="22">
        <f t="shared" si="325"/>
        <v>45955</v>
      </c>
      <c r="F1018" s="22">
        <f t="shared" si="40"/>
        <v>45959</v>
      </c>
      <c r="G1018" s="142">
        <f t="shared" si="326"/>
        <v>1016</v>
      </c>
      <c r="H1018" s="106" t="s">
        <v>23</v>
      </c>
    </row>
    <row r="1019" ht="18.75" customHeight="1">
      <c r="A1019" s="215"/>
      <c r="B1019" s="99">
        <f t="shared" si="2"/>
        <v>1018</v>
      </c>
      <c r="C1019" s="270" t="s">
        <v>1053</v>
      </c>
      <c r="D1019" s="110">
        <v>1.0</v>
      </c>
      <c r="E1019" s="24">
        <f t="shared" si="325"/>
        <v>45959</v>
      </c>
      <c r="F1019" s="22">
        <f t="shared" si="40"/>
        <v>45960</v>
      </c>
      <c r="G1019" s="142">
        <f t="shared" si="326"/>
        <v>1017</v>
      </c>
      <c r="H1019" s="101" t="s">
        <v>49</v>
      </c>
    </row>
    <row r="1020" ht="18.75" customHeight="1">
      <c r="A1020" s="215"/>
      <c r="B1020" s="99">
        <f t="shared" si="2"/>
        <v>1019</v>
      </c>
      <c r="C1020" s="67" t="s">
        <v>1054</v>
      </c>
      <c r="D1020" s="101">
        <v>1.0</v>
      </c>
      <c r="E1020" s="24">
        <f>F918</f>
        <v>45952</v>
      </c>
      <c r="F1020" s="22">
        <f t="shared" si="40"/>
        <v>45953</v>
      </c>
      <c r="G1020" s="142">
        <f>B918</f>
        <v>917</v>
      </c>
      <c r="H1020" s="106" t="s">
        <v>10</v>
      </c>
    </row>
    <row r="1021" ht="18.75" customHeight="1">
      <c r="A1021" s="215"/>
      <c r="B1021" s="99">
        <f t="shared" si="2"/>
        <v>1020</v>
      </c>
      <c r="C1021" s="67" t="s">
        <v>1055</v>
      </c>
      <c r="D1021" s="115">
        <v>1.0</v>
      </c>
      <c r="E1021" s="24">
        <f t="shared" ref="E1021:E1023" si="327">F1020</f>
        <v>45953</v>
      </c>
      <c r="F1021" s="22">
        <f t="shared" si="40"/>
        <v>45954</v>
      </c>
      <c r="G1021" s="142">
        <f t="shared" ref="G1021:G1023" si="328">B1020</f>
        <v>1019</v>
      </c>
      <c r="H1021" s="101" t="s">
        <v>23</v>
      </c>
    </row>
    <row r="1022" ht="18.75" customHeight="1">
      <c r="A1022" s="215"/>
      <c r="B1022" s="99">
        <f t="shared" si="2"/>
        <v>1021</v>
      </c>
      <c r="C1022" s="67" t="s">
        <v>1056</v>
      </c>
      <c r="D1022" s="110">
        <v>2.0</v>
      </c>
      <c r="E1022" s="22">
        <f t="shared" si="327"/>
        <v>45954</v>
      </c>
      <c r="F1022" s="22">
        <f t="shared" si="40"/>
        <v>45956</v>
      </c>
      <c r="G1022" s="142">
        <f t="shared" si="328"/>
        <v>1020</v>
      </c>
      <c r="H1022" s="106" t="s">
        <v>23</v>
      </c>
    </row>
    <row r="1023" ht="18.75" customHeight="1">
      <c r="A1023" s="215"/>
      <c r="B1023" s="99">
        <f t="shared" si="2"/>
        <v>1022</v>
      </c>
      <c r="C1023" s="67" t="s">
        <v>1057</v>
      </c>
      <c r="D1023" s="258">
        <v>1.0</v>
      </c>
      <c r="E1023" s="24">
        <f t="shared" si="327"/>
        <v>45956</v>
      </c>
      <c r="F1023" s="22">
        <f t="shared" si="40"/>
        <v>45957</v>
      </c>
      <c r="G1023" s="142">
        <f t="shared" si="328"/>
        <v>1021</v>
      </c>
      <c r="H1023" s="101" t="s">
        <v>49</v>
      </c>
    </row>
    <row r="1024" ht="18.75" customHeight="1">
      <c r="A1024" s="215"/>
      <c r="B1024" s="99">
        <f t="shared" si="2"/>
        <v>1023</v>
      </c>
      <c r="C1024" s="270" t="s">
        <v>391</v>
      </c>
      <c r="D1024" s="101">
        <v>1.0</v>
      </c>
      <c r="E1024" s="24">
        <f>F918</f>
        <v>45952</v>
      </c>
      <c r="F1024" s="22">
        <f t="shared" si="40"/>
        <v>45953</v>
      </c>
      <c r="G1024" s="142">
        <f>B918</f>
        <v>917</v>
      </c>
      <c r="H1024" s="106" t="s">
        <v>10</v>
      </c>
    </row>
    <row r="1025" ht="18.75" customHeight="1">
      <c r="A1025" s="215"/>
      <c r="B1025" s="99">
        <f t="shared" si="2"/>
        <v>1024</v>
      </c>
      <c r="C1025" s="270" t="s">
        <v>392</v>
      </c>
      <c r="D1025" s="115">
        <v>1.0</v>
      </c>
      <c r="E1025" s="24">
        <f t="shared" ref="E1025:E1027" si="329">F1024</f>
        <v>45953</v>
      </c>
      <c r="F1025" s="22">
        <f t="shared" si="40"/>
        <v>45954</v>
      </c>
      <c r="G1025" s="142">
        <f t="shared" ref="G1025:G1027" si="330">B1024</f>
        <v>1023</v>
      </c>
      <c r="H1025" s="101" t="s">
        <v>23</v>
      </c>
    </row>
    <row r="1026" ht="18.75" customHeight="1">
      <c r="A1026" s="215"/>
      <c r="B1026" s="99">
        <f t="shared" si="2"/>
        <v>1025</v>
      </c>
      <c r="C1026" s="270" t="s">
        <v>393</v>
      </c>
      <c r="D1026" s="110">
        <v>2.0</v>
      </c>
      <c r="E1026" s="22">
        <f t="shared" si="329"/>
        <v>45954</v>
      </c>
      <c r="F1026" s="22">
        <f t="shared" si="40"/>
        <v>45956</v>
      </c>
      <c r="G1026" s="142">
        <f t="shared" si="330"/>
        <v>1024</v>
      </c>
      <c r="H1026" s="106" t="s">
        <v>23</v>
      </c>
    </row>
    <row r="1027" ht="18.75" customHeight="1">
      <c r="A1027" s="215"/>
      <c r="B1027" s="104">
        <f t="shared" si="2"/>
        <v>1026</v>
      </c>
      <c r="C1027" s="270" t="s">
        <v>394</v>
      </c>
      <c r="D1027" s="258">
        <v>1.0</v>
      </c>
      <c r="E1027" s="24">
        <f t="shared" si="329"/>
        <v>45956</v>
      </c>
      <c r="F1027" s="24">
        <f t="shared" si="40"/>
        <v>45957</v>
      </c>
      <c r="G1027" s="142">
        <f t="shared" si="330"/>
        <v>1025</v>
      </c>
      <c r="H1027" s="101" t="s">
        <v>49</v>
      </c>
    </row>
    <row r="1028" ht="18.75" customHeight="1">
      <c r="A1028" s="274" t="s">
        <v>373</v>
      </c>
      <c r="B1028" s="99">
        <f t="shared" si="2"/>
        <v>1027</v>
      </c>
      <c r="C1028" s="67" t="s">
        <v>1058</v>
      </c>
      <c r="D1028" s="106">
        <v>1.0</v>
      </c>
      <c r="E1028" s="22">
        <f>F918</f>
        <v>45952</v>
      </c>
      <c r="F1028" s="22">
        <f t="shared" si="40"/>
        <v>45953</v>
      </c>
      <c r="G1028" s="31">
        <f>B918</f>
        <v>917</v>
      </c>
      <c r="H1028" s="101" t="s">
        <v>10</v>
      </c>
    </row>
    <row r="1029" ht="18.75" customHeight="1">
      <c r="A1029" s="276" t="s">
        <v>396</v>
      </c>
      <c r="B1029" s="104">
        <f t="shared" si="2"/>
        <v>1028</v>
      </c>
      <c r="C1029" s="67" t="s">
        <v>1059</v>
      </c>
      <c r="D1029" s="101">
        <v>2.0</v>
      </c>
      <c r="E1029" s="24">
        <f t="shared" ref="E1029:E1031" si="331">F1028</f>
        <v>45953</v>
      </c>
      <c r="F1029" s="24">
        <f t="shared" si="40"/>
        <v>45955</v>
      </c>
      <c r="G1029" s="142">
        <f t="shared" ref="G1029:G1031" si="332">B1028</f>
        <v>1027</v>
      </c>
      <c r="H1029" s="106" t="s">
        <v>23</v>
      </c>
    </row>
    <row r="1030" ht="18.75" customHeight="1">
      <c r="A1030" s="268" t="s">
        <v>993</v>
      </c>
      <c r="B1030" s="99">
        <f t="shared" si="2"/>
        <v>1029</v>
      </c>
      <c r="C1030" s="67" t="s">
        <v>1060</v>
      </c>
      <c r="D1030" s="106">
        <v>4.0</v>
      </c>
      <c r="E1030" s="22">
        <f t="shared" si="331"/>
        <v>45955</v>
      </c>
      <c r="F1030" s="22">
        <f t="shared" si="40"/>
        <v>45959</v>
      </c>
      <c r="G1030" s="142">
        <f t="shared" si="332"/>
        <v>1028</v>
      </c>
      <c r="H1030" s="101" t="s">
        <v>23</v>
      </c>
    </row>
    <row r="1031" ht="18.75" customHeight="1">
      <c r="A1031" s="269"/>
      <c r="B1031" s="104">
        <f t="shared" si="2"/>
        <v>1030</v>
      </c>
      <c r="C1031" s="67" t="s">
        <v>1061</v>
      </c>
      <c r="D1031" s="110">
        <v>1.0</v>
      </c>
      <c r="E1031" s="24">
        <f t="shared" si="331"/>
        <v>45959</v>
      </c>
      <c r="F1031" s="24">
        <f t="shared" si="40"/>
        <v>45960</v>
      </c>
      <c r="G1031" s="142">
        <f t="shared" si="332"/>
        <v>1029</v>
      </c>
      <c r="H1031" s="106" t="s">
        <v>49</v>
      </c>
    </row>
    <row r="1032" ht="18.75" customHeight="1">
      <c r="A1032" s="269"/>
      <c r="B1032" s="99">
        <f t="shared" si="2"/>
        <v>1031</v>
      </c>
      <c r="C1032" s="270" t="s">
        <v>400</v>
      </c>
      <c r="D1032" s="106">
        <v>1.0</v>
      </c>
      <c r="E1032" s="22">
        <f>F918</f>
        <v>45952</v>
      </c>
      <c r="F1032" s="22">
        <f t="shared" si="40"/>
        <v>45953</v>
      </c>
      <c r="G1032" s="142">
        <f>B918</f>
        <v>917</v>
      </c>
      <c r="H1032" s="101" t="s">
        <v>10</v>
      </c>
    </row>
    <row r="1033" ht="18.75" customHeight="1">
      <c r="A1033" s="269"/>
      <c r="B1033" s="104">
        <f t="shared" si="2"/>
        <v>1032</v>
      </c>
      <c r="C1033" s="270" t="s">
        <v>401</v>
      </c>
      <c r="D1033" s="101">
        <v>2.0</v>
      </c>
      <c r="E1033" s="24">
        <f t="shared" ref="E1033:E1035" si="333">F1032</f>
        <v>45953</v>
      </c>
      <c r="F1033" s="24">
        <f t="shared" si="40"/>
        <v>45955</v>
      </c>
      <c r="G1033" s="142">
        <f t="shared" ref="G1033:G1035" si="334">B1032</f>
        <v>1031</v>
      </c>
      <c r="H1033" s="106" t="s">
        <v>23</v>
      </c>
    </row>
    <row r="1034" ht="18.75" customHeight="1">
      <c r="A1034" s="269"/>
      <c r="B1034" s="99">
        <f t="shared" si="2"/>
        <v>1033</v>
      </c>
      <c r="C1034" s="270" t="s">
        <v>402</v>
      </c>
      <c r="D1034" s="106">
        <v>4.0</v>
      </c>
      <c r="E1034" s="22">
        <f t="shared" si="333"/>
        <v>45955</v>
      </c>
      <c r="F1034" s="22">
        <f t="shared" si="40"/>
        <v>45959</v>
      </c>
      <c r="G1034" s="142">
        <f t="shared" si="334"/>
        <v>1032</v>
      </c>
      <c r="H1034" s="101" t="s">
        <v>23</v>
      </c>
    </row>
    <row r="1035" ht="18.75" customHeight="1">
      <c r="A1035" s="269"/>
      <c r="B1035" s="104">
        <f t="shared" si="2"/>
        <v>1034</v>
      </c>
      <c r="C1035" s="270" t="s">
        <v>403</v>
      </c>
      <c r="D1035" s="110">
        <v>1.0</v>
      </c>
      <c r="E1035" s="24">
        <f t="shared" si="333"/>
        <v>45959</v>
      </c>
      <c r="F1035" s="24">
        <f t="shared" si="40"/>
        <v>45960</v>
      </c>
      <c r="G1035" s="142">
        <f t="shared" si="334"/>
        <v>1033</v>
      </c>
      <c r="H1035" s="106" t="s">
        <v>49</v>
      </c>
    </row>
    <row r="1036" ht="18.75" customHeight="1">
      <c r="A1036" s="269"/>
      <c r="B1036" s="99">
        <f t="shared" si="2"/>
        <v>1035</v>
      </c>
      <c r="C1036" s="67" t="s">
        <v>404</v>
      </c>
      <c r="D1036" s="106">
        <v>1.0</v>
      </c>
      <c r="E1036" s="22">
        <f>F918</f>
        <v>45952</v>
      </c>
      <c r="F1036" s="22">
        <f t="shared" si="40"/>
        <v>45953</v>
      </c>
      <c r="G1036" s="142">
        <f>B918</f>
        <v>917</v>
      </c>
      <c r="H1036" s="101" t="s">
        <v>10</v>
      </c>
    </row>
    <row r="1037" ht="18.75" customHeight="1">
      <c r="A1037" s="269"/>
      <c r="B1037" s="99">
        <f t="shared" si="2"/>
        <v>1036</v>
      </c>
      <c r="C1037" s="67" t="s">
        <v>405</v>
      </c>
      <c r="D1037" s="101">
        <v>2.0</v>
      </c>
      <c r="E1037" s="24">
        <f t="shared" ref="E1037:E1039" si="335">F1036</f>
        <v>45953</v>
      </c>
      <c r="F1037" s="22">
        <f t="shared" si="40"/>
        <v>45955</v>
      </c>
      <c r="G1037" s="142">
        <f t="shared" ref="G1037:G1039" si="336">B1036</f>
        <v>1035</v>
      </c>
      <c r="H1037" s="106" t="s">
        <v>23</v>
      </c>
    </row>
    <row r="1038" ht="18.75" customHeight="1">
      <c r="A1038" s="269"/>
      <c r="B1038" s="99">
        <f t="shared" si="2"/>
        <v>1037</v>
      </c>
      <c r="C1038" s="67" t="s">
        <v>406</v>
      </c>
      <c r="D1038" s="106">
        <v>4.0</v>
      </c>
      <c r="E1038" s="22">
        <f t="shared" si="335"/>
        <v>45955</v>
      </c>
      <c r="F1038" s="22">
        <f t="shared" si="40"/>
        <v>45959</v>
      </c>
      <c r="G1038" s="142">
        <f t="shared" si="336"/>
        <v>1036</v>
      </c>
      <c r="H1038" s="101" t="s">
        <v>23</v>
      </c>
    </row>
    <row r="1039" ht="18.75" customHeight="1">
      <c r="A1039" s="269"/>
      <c r="B1039" s="99">
        <f t="shared" si="2"/>
        <v>1038</v>
      </c>
      <c r="C1039" s="67" t="s">
        <v>407</v>
      </c>
      <c r="D1039" s="110">
        <v>1.0</v>
      </c>
      <c r="E1039" s="24">
        <f t="shared" si="335"/>
        <v>45959</v>
      </c>
      <c r="F1039" s="22">
        <f t="shared" si="40"/>
        <v>45960</v>
      </c>
      <c r="G1039" s="142">
        <f t="shared" si="336"/>
        <v>1037</v>
      </c>
      <c r="H1039" s="106" t="s">
        <v>49</v>
      </c>
    </row>
    <row r="1040" ht="18.75" customHeight="1">
      <c r="A1040" s="269"/>
      <c r="B1040" s="99">
        <f t="shared" si="2"/>
        <v>1039</v>
      </c>
      <c r="C1040" s="270" t="s">
        <v>1062</v>
      </c>
      <c r="D1040" s="106">
        <v>1.0</v>
      </c>
      <c r="E1040" s="22">
        <f>F918</f>
        <v>45952</v>
      </c>
      <c r="F1040" s="22">
        <f t="shared" si="40"/>
        <v>45953</v>
      </c>
      <c r="G1040" s="142">
        <f>B918</f>
        <v>917</v>
      </c>
      <c r="H1040" s="101" t="s">
        <v>10</v>
      </c>
    </row>
    <row r="1041" ht="18.75" customHeight="1">
      <c r="A1041" s="269"/>
      <c r="B1041" s="99">
        <f t="shared" si="2"/>
        <v>1040</v>
      </c>
      <c r="C1041" s="270" t="s">
        <v>1063</v>
      </c>
      <c r="D1041" s="101">
        <v>2.0</v>
      </c>
      <c r="E1041" s="24">
        <f t="shared" ref="E1041:E1043" si="337">F1040</f>
        <v>45953</v>
      </c>
      <c r="F1041" s="22">
        <f t="shared" si="40"/>
        <v>45955</v>
      </c>
      <c r="G1041" s="142">
        <f t="shared" ref="G1041:G1043" si="338">B1040</f>
        <v>1039</v>
      </c>
      <c r="H1041" s="106" t="s">
        <v>23</v>
      </c>
    </row>
    <row r="1042" ht="18.75" customHeight="1">
      <c r="A1042" s="269"/>
      <c r="B1042" s="99">
        <f t="shared" si="2"/>
        <v>1041</v>
      </c>
      <c r="C1042" s="270" t="s">
        <v>1064</v>
      </c>
      <c r="D1042" s="106">
        <v>4.0</v>
      </c>
      <c r="E1042" s="22">
        <f t="shared" si="337"/>
        <v>45955</v>
      </c>
      <c r="F1042" s="22">
        <f t="shared" si="40"/>
        <v>45959</v>
      </c>
      <c r="G1042" s="142">
        <f t="shared" si="338"/>
        <v>1040</v>
      </c>
      <c r="H1042" s="101" t="s">
        <v>23</v>
      </c>
    </row>
    <row r="1043" ht="18.75" customHeight="1">
      <c r="A1043" s="269"/>
      <c r="B1043" s="99">
        <f t="shared" si="2"/>
        <v>1042</v>
      </c>
      <c r="C1043" s="270" t="s">
        <v>1065</v>
      </c>
      <c r="D1043" s="110">
        <v>1.0</v>
      </c>
      <c r="E1043" s="24">
        <f t="shared" si="337"/>
        <v>45959</v>
      </c>
      <c r="F1043" s="22">
        <f t="shared" si="40"/>
        <v>45960</v>
      </c>
      <c r="G1043" s="142">
        <f t="shared" si="338"/>
        <v>1041</v>
      </c>
      <c r="H1043" s="106" t="s">
        <v>49</v>
      </c>
    </row>
    <row r="1044" ht="18.75" customHeight="1">
      <c r="A1044" s="269"/>
      <c r="B1044" s="99">
        <f t="shared" si="2"/>
        <v>1043</v>
      </c>
      <c r="C1044" s="67" t="s">
        <v>1066</v>
      </c>
      <c r="D1044" s="101">
        <v>1.0</v>
      </c>
      <c r="E1044" s="22">
        <f>F918</f>
        <v>45952</v>
      </c>
      <c r="F1044" s="22">
        <f t="shared" si="40"/>
        <v>45953</v>
      </c>
      <c r="G1044" s="142">
        <f>B918</f>
        <v>917</v>
      </c>
      <c r="H1044" s="101" t="s">
        <v>10</v>
      </c>
    </row>
    <row r="1045" ht="18.75" customHeight="1">
      <c r="A1045" s="269"/>
      <c r="B1045" s="99">
        <f t="shared" si="2"/>
        <v>1044</v>
      </c>
      <c r="C1045" s="67" t="s">
        <v>1067</v>
      </c>
      <c r="D1045" s="115">
        <v>1.0</v>
      </c>
      <c r="E1045" s="24">
        <f t="shared" ref="E1045:E1047" si="339">F1044</f>
        <v>45953</v>
      </c>
      <c r="F1045" s="22">
        <f t="shared" si="40"/>
        <v>45954</v>
      </c>
      <c r="G1045" s="142">
        <f t="shared" ref="G1045:G1047" si="340">B1044</f>
        <v>1043</v>
      </c>
      <c r="H1045" s="106" t="s">
        <v>23</v>
      </c>
    </row>
    <row r="1046" ht="18.75" customHeight="1">
      <c r="A1046" s="269"/>
      <c r="B1046" s="99">
        <f t="shared" si="2"/>
        <v>1045</v>
      </c>
      <c r="C1046" s="67" t="s">
        <v>1068</v>
      </c>
      <c r="D1046" s="110">
        <v>2.0</v>
      </c>
      <c r="E1046" s="22">
        <f t="shared" si="339"/>
        <v>45954</v>
      </c>
      <c r="F1046" s="22">
        <f t="shared" si="40"/>
        <v>45956</v>
      </c>
      <c r="G1046" s="142">
        <f t="shared" si="340"/>
        <v>1044</v>
      </c>
      <c r="H1046" s="101" t="s">
        <v>23</v>
      </c>
    </row>
    <row r="1047" ht="18.75" customHeight="1">
      <c r="A1047" s="269"/>
      <c r="B1047" s="99">
        <f t="shared" si="2"/>
        <v>1046</v>
      </c>
      <c r="C1047" s="67" t="s">
        <v>1069</v>
      </c>
      <c r="D1047" s="258">
        <v>1.0</v>
      </c>
      <c r="E1047" s="24">
        <f t="shared" si="339"/>
        <v>45956</v>
      </c>
      <c r="F1047" s="22">
        <f t="shared" si="40"/>
        <v>45957</v>
      </c>
      <c r="G1047" s="142">
        <f t="shared" si="340"/>
        <v>1045</v>
      </c>
      <c r="H1047" s="106" t="s">
        <v>49</v>
      </c>
    </row>
    <row r="1048" ht="18.75" customHeight="1">
      <c r="A1048" s="269"/>
      <c r="B1048" s="99">
        <f t="shared" si="2"/>
        <v>1047</v>
      </c>
      <c r="C1048" s="270" t="s">
        <v>412</v>
      </c>
      <c r="D1048" s="101">
        <v>1.0</v>
      </c>
      <c r="E1048" s="22">
        <f>F918</f>
        <v>45952</v>
      </c>
      <c r="F1048" s="22">
        <f t="shared" si="40"/>
        <v>45953</v>
      </c>
      <c r="G1048" s="142">
        <f>B918</f>
        <v>917</v>
      </c>
      <c r="H1048" s="101" t="s">
        <v>10</v>
      </c>
    </row>
    <row r="1049" ht="18.75" customHeight="1">
      <c r="A1049" s="269"/>
      <c r="B1049" s="99">
        <f t="shared" si="2"/>
        <v>1048</v>
      </c>
      <c r="C1049" s="270" t="s">
        <v>413</v>
      </c>
      <c r="D1049" s="115">
        <v>1.0</v>
      </c>
      <c r="E1049" s="24">
        <f t="shared" ref="E1049:E1051" si="341">F1048</f>
        <v>45953</v>
      </c>
      <c r="F1049" s="22">
        <f t="shared" si="40"/>
        <v>45954</v>
      </c>
      <c r="G1049" s="142">
        <f t="shared" ref="G1049:G1051" si="342">B1048</f>
        <v>1047</v>
      </c>
      <c r="H1049" s="106" t="s">
        <v>23</v>
      </c>
    </row>
    <row r="1050" ht="18.75" customHeight="1">
      <c r="A1050" s="269"/>
      <c r="B1050" s="99">
        <f t="shared" si="2"/>
        <v>1049</v>
      </c>
      <c r="C1050" s="270" t="s">
        <v>414</v>
      </c>
      <c r="D1050" s="110">
        <v>2.0</v>
      </c>
      <c r="E1050" s="22">
        <f t="shared" si="341"/>
        <v>45954</v>
      </c>
      <c r="F1050" s="22">
        <f t="shared" si="40"/>
        <v>45956</v>
      </c>
      <c r="G1050" s="142">
        <f t="shared" si="342"/>
        <v>1048</v>
      </c>
      <c r="H1050" s="101" t="s">
        <v>23</v>
      </c>
    </row>
    <row r="1051" ht="18.75" customHeight="1">
      <c r="A1051" s="269"/>
      <c r="B1051" s="99">
        <f t="shared" si="2"/>
        <v>1050</v>
      </c>
      <c r="C1051" s="270" t="s">
        <v>415</v>
      </c>
      <c r="D1051" s="258">
        <v>1.0</v>
      </c>
      <c r="E1051" s="24">
        <f t="shared" si="341"/>
        <v>45956</v>
      </c>
      <c r="F1051" s="22">
        <f t="shared" si="40"/>
        <v>45957</v>
      </c>
      <c r="G1051" s="142">
        <f t="shared" si="342"/>
        <v>1049</v>
      </c>
      <c r="H1051" s="106" t="s">
        <v>49</v>
      </c>
    </row>
    <row r="1052" ht="18.75" customHeight="1">
      <c r="A1052" s="272" t="s">
        <v>373</v>
      </c>
      <c r="B1052" s="104">
        <f t="shared" si="2"/>
        <v>1051</v>
      </c>
      <c r="C1052" s="67" t="s">
        <v>1070</v>
      </c>
      <c r="D1052" s="106">
        <v>1.0</v>
      </c>
      <c r="E1052" s="24">
        <f>F918</f>
        <v>45952</v>
      </c>
      <c r="F1052" s="24">
        <f t="shared" si="40"/>
        <v>45953</v>
      </c>
      <c r="G1052" s="107">
        <f>B918</f>
        <v>917</v>
      </c>
      <c r="H1052" s="101" t="s">
        <v>10</v>
      </c>
    </row>
    <row r="1053" ht="18.75" customHeight="1">
      <c r="A1053" s="273" t="s">
        <v>417</v>
      </c>
      <c r="B1053" s="99">
        <f t="shared" si="2"/>
        <v>1052</v>
      </c>
      <c r="C1053" s="67" t="s">
        <v>1071</v>
      </c>
      <c r="D1053" s="101">
        <v>2.0</v>
      </c>
      <c r="E1053" s="24">
        <f t="shared" ref="E1053:E1055" si="343">F1052</f>
        <v>45953</v>
      </c>
      <c r="F1053" s="22">
        <f t="shared" si="40"/>
        <v>45955</v>
      </c>
      <c r="G1053" s="142">
        <f t="shared" ref="G1053:G1055" si="344">B1052</f>
        <v>1051</v>
      </c>
      <c r="H1053" s="106" t="s">
        <v>23</v>
      </c>
    </row>
    <row r="1054" ht="18.75" customHeight="1">
      <c r="A1054" s="19" t="s">
        <v>993</v>
      </c>
      <c r="B1054" s="104">
        <f t="shared" si="2"/>
        <v>1053</v>
      </c>
      <c r="C1054" s="67" t="s">
        <v>1072</v>
      </c>
      <c r="D1054" s="106">
        <v>4.0</v>
      </c>
      <c r="E1054" s="22">
        <f t="shared" si="343"/>
        <v>45955</v>
      </c>
      <c r="F1054" s="24">
        <f t="shared" si="40"/>
        <v>45959</v>
      </c>
      <c r="G1054" s="108">
        <f t="shared" si="344"/>
        <v>1052</v>
      </c>
      <c r="H1054" s="101" t="s">
        <v>23</v>
      </c>
    </row>
    <row r="1055" ht="18.75" customHeight="1">
      <c r="A1055" s="215"/>
      <c r="B1055" s="99">
        <f t="shared" si="2"/>
        <v>1054</v>
      </c>
      <c r="C1055" s="67" t="s">
        <v>1073</v>
      </c>
      <c r="D1055" s="110">
        <v>1.0</v>
      </c>
      <c r="E1055" s="24">
        <f t="shared" si="343"/>
        <v>45959</v>
      </c>
      <c r="F1055" s="22">
        <f t="shared" si="40"/>
        <v>45960</v>
      </c>
      <c r="G1055" s="142">
        <f t="shared" si="344"/>
        <v>1053</v>
      </c>
      <c r="H1055" s="106" t="s">
        <v>49</v>
      </c>
    </row>
    <row r="1056" ht="18.75" customHeight="1">
      <c r="A1056" s="215"/>
      <c r="B1056" s="104">
        <f t="shared" si="2"/>
        <v>1055</v>
      </c>
      <c r="C1056" s="275" t="s">
        <v>421</v>
      </c>
      <c r="D1056" s="106">
        <v>1.0</v>
      </c>
      <c r="E1056" s="22">
        <f>F918</f>
        <v>45952</v>
      </c>
      <c r="F1056" s="24">
        <f t="shared" si="40"/>
        <v>45953</v>
      </c>
      <c r="G1056" s="108">
        <f>B918</f>
        <v>917</v>
      </c>
      <c r="H1056" s="101" t="s">
        <v>10</v>
      </c>
    </row>
    <row r="1057" ht="18.75" customHeight="1">
      <c r="A1057" s="215"/>
      <c r="B1057" s="99">
        <f t="shared" si="2"/>
        <v>1056</v>
      </c>
      <c r="C1057" s="275" t="s">
        <v>422</v>
      </c>
      <c r="D1057" s="101">
        <v>2.0</v>
      </c>
      <c r="E1057" s="24">
        <f t="shared" ref="E1057:E1059" si="345">F1056</f>
        <v>45953</v>
      </c>
      <c r="F1057" s="22">
        <f t="shared" si="40"/>
        <v>45955</v>
      </c>
      <c r="G1057" s="142">
        <f t="shared" ref="G1057:G1059" si="346">B1056</f>
        <v>1055</v>
      </c>
      <c r="H1057" s="106" t="s">
        <v>23</v>
      </c>
    </row>
    <row r="1058" ht="18.75" customHeight="1">
      <c r="A1058" s="215"/>
      <c r="B1058" s="104">
        <f t="shared" si="2"/>
        <v>1057</v>
      </c>
      <c r="C1058" s="275" t="s">
        <v>423</v>
      </c>
      <c r="D1058" s="106">
        <v>4.0</v>
      </c>
      <c r="E1058" s="22">
        <f t="shared" si="345"/>
        <v>45955</v>
      </c>
      <c r="F1058" s="24">
        <f t="shared" si="40"/>
        <v>45959</v>
      </c>
      <c r="G1058" s="108">
        <f t="shared" si="346"/>
        <v>1056</v>
      </c>
      <c r="H1058" s="101" t="s">
        <v>23</v>
      </c>
    </row>
    <row r="1059" ht="18.75" customHeight="1">
      <c r="A1059" s="215"/>
      <c r="B1059" s="99">
        <f t="shared" si="2"/>
        <v>1058</v>
      </c>
      <c r="C1059" s="275" t="s">
        <v>424</v>
      </c>
      <c r="D1059" s="110">
        <v>1.0</v>
      </c>
      <c r="E1059" s="24">
        <f t="shared" si="345"/>
        <v>45959</v>
      </c>
      <c r="F1059" s="22">
        <f t="shared" si="40"/>
        <v>45960</v>
      </c>
      <c r="G1059" s="142">
        <f t="shared" si="346"/>
        <v>1057</v>
      </c>
      <c r="H1059" s="106" t="s">
        <v>49</v>
      </c>
    </row>
    <row r="1060" ht="18.75" customHeight="1">
      <c r="A1060" s="215"/>
      <c r="B1060" s="104">
        <f t="shared" si="2"/>
        <v>1059</v>
      </c>
      <c r="C1060" s="20" t="s">
        <v>425</v>
      </c>
      <c r="D1060" s="106">
        <v>1.0</v>
      </c>
      <c r="E1060" s="24">
        <f>F918</f>
        <v>45952</v>
      </c>
      <c r="F1060" s="24">
        <f t="shared" si="40"/>
        <v>45953</v>
      </c>
      <c r="G1060" s="108">
        <f>B918</f>
        <v>917</v>
      </c>
      <c r="H1060" s="101" t="s">
        <v>10</v>
      </c>
    </row>
    <row r="1061" ht="18.75" customHeight="1">
      <c r="A1061" s="215"/>
      <c r="B1061" s="104">
        <f t="shared" si="2"/>
        <v>1060</v>
      </c>
      <c r="C1061" s="20" t="s">
        <v>426</v>
      </c>
      <c r="D1061" s="101">
        <v>2.0</v>
      </c>
      <c r="E1061" s="24">
        <f t="shared" ref="E1061:E1063" si="347">F1060</f>
        <v>45953</v>
      </c>
      <c r="F1061" s="24">
        <f t="shared" si="40"/>
        <v>45955</v>
      </c>
      <c r="G1061" s="142">
        <f t="shared" ref="G1061:G1063" si="348">B1060</f>
        <v>1059</v>
      </c>
      <c r="H1061" s="106" t="s">
        <v>23</v>
      </c>
    </row>
    <row r="1062" ht="18.75" customHeight="1">
      <c r="A1062" s="215"/>
      <c r="B1062" s="104">
        <f t="shared" si="2"/>
        <v>1061</v>
      </c>
      <c r="C1062" s="20" t="s">
        <v>427</v>
      </c>
      <c r="D1062" s="106">
        <v>4.0</v>
      </c>
      <c r="E1062" s="22">
        <f t="shared" si="347"/>
        <v>45955</v>
      </c>
      <c r="F1062" s="24">
        <f t="shared" si="40"/>
        <v>45959</v>
      </c>
      <c r="G1062" s="142">
        <f t="shared" si="348"/>
        <v>1060</v>
      </c>
      <c r="H1062" s="101" t="s">
        <v>23</v>
      </c>
    </row>
    <row r="1063" ht="18.75" customHeight="1">
      <c r="A1063" s="215"/>
      <c r="B1063" s="104">
        <f t="shared" si="2"/>
        <v>1062</v>
      </c>
      <c r="C1063" s="20" t="s">
        <v>428</v>
      </c>
      <c r="D1063" s="110">
        <v>1.0</v>
      </c>
      <c r="E1063" s="24">
        <f t="shared" si="347"/>
        <v>45959</v>
      </c>
      <c r="F1063" s="24">
        <f t="shared" si="40"/>
        <v>45960</v>
      </c>
      <c r="G1063" s="142">
        <f t="shared" si="348"/>
        <v>1061</v>
      </c>
      <c r="H1063" s="106" t="s">
        <v>49</v>
      </c>
    </row>
    <row r="1064" ht="18.75" customHeight="1">
      <c r="A1064" s="215"/>
      <c r="B1064" s="104">
        <f t="shared" si="2"/>
        <v>1063</v>
      </c>
      <c r="C1064" s="270" t="s">
        <v>1074</v>
      </c>
      <c r="D1064" s="106">
        <v>1.0</v>
      </c>
      <c r="E1064" s="24">
        <f>F918</f>
        <v>45952</v>
      </c>
      <c r="F1064" s="24">
        <f t="shared" si="40"/>
        <v>45953</v>
      </c>
      <c r="G1064" s="108">
        <f>B918</f>
        <v>917</v>
      </c>
      <c r="H1064" s="101" t="s">
        <v>10</v>
      </c>
    </row>
    <row r="1065" ht="18.75" customHeight="1">
      <c r="A1065" s="215"/>
      <c r="B1065" s="104">
        <f t="shared" si="2"/>
        <v>1064</v>
      </c>
      <c r="C1065" s="270" t="s">
        <v>1075</v>
      </c>
      <c r="D1065" s="101">
        <v>2.0</v>
      </c>
      <c r="E1065" s="24">
        <f t="shared" ref="E1065:E1067" si="349">F1064</f>
        <v>45953</v>
      </c>
      <c r="F1065" s="24">
        <f t="shared" si="40"/>
        <v>45955</v>
      </c>
      <c r="G1065" s="142">
        <f t="shared" ref="G1065:G1067" si="350">B1064</f>
        <v>1063</v>
      </c>
      <c r="H1065" s="106" t="s">
        <v>23</v>
      </c>
    </row>
    <row r="1066" ht="18.75" customHeight="1">
      <c r="A1066" s="215"/>
      <c r="B1066" s="104">
        <f t="shared" si="2"/>
        <v>1065</v>
      </c>
      <c r="C1066" s="270" t="s">
        <v>1076</v>
      </c>
      <c r="D1066" s="106">
        <v>4.0</v>
      </c>
      <c r="E1066" s="22">
        <f t="shared" si="349"/>
        <v>45955</v>
      </c>
      <c r="F1066" s="24">
        <f t="shared" si="40"/>
        <v>45959</v>
      </c>
      <c r="G1066" s="142">
        <f t="shared" si="350"/>
        <v>1064</v>
      </c>
      <c r="H1066" s="101" t="s">
        <v>23</v>
      </c>
    </row>
    <row r="1067" ht="18.75" customHeight="1">
      <c r="A1067" s="215"/>
      <c r="B1067" s="104">
        <f t="shared" si="2"/>
        <v>1066</v>
      </c>
      <c r="C1067" s="270" t="s">
        <v>1077</v>
      </c>
      <c r="D1067" s="110">
        <v>1.0</v>
      </c>
      <c r="E1067" s="24">
        <f t="shared" si="349"/>
        <v>45959</v>
      </c>
      <c r="F1067" s="24">
        <f t="shared" si="40"/>
        <v>45960</v>
      </c>
      <c r="G1067" s="142">
        <f t="shared" si="350"/>
        <v>1065</v>
      </c>
      <c r="H1067" s="106" t="s">
        <v>49</v>
      </c>
    </row>
    <row r="1068" ht="18.75" customHeight="1">
      <c r="A1068" s="215"/>
      <c r="B1068" s="104">
        <f t="shared" si="2"/>
        <v>1067</v>
      </c>
      <c r="C1068" s="67" t="s">
        <v>1078</v>
      </c>
      <c r="D1068" s="101">
        <v>1.0</v>
      </c>
      <c r="E1068" s="24">
        <f>F918</f>
        <v>45952</v>
      </c>
      <c r="F1068" s="24">
        <f t="shared" si="40"/>
        <v>45953</v>
      </c>
      <c r="G1068" s="108">
        <f>B918</f>
        <v>917</v>
      </c>
      <c r="H1068" s="101" t="s">
        <v>10</v>
      </c>
    </row>
    <row r="1069" ht="18.75" customHeight="1">
      <c r="A1069" s="215"/>
      <c r="B1069" s="104">
        <f t="shared" si="2"/>
        <v>1068</v>
      </c>
      <c r="C1069" s="67" t="s">
        <v>1079</v>
      </c>
      <c r="D1069" s="115">
        <v>1.0</v>
      </c>
      <c r="E1069" s="24">
        <f t="shared" ref="E1069:E1071" si="351">F1068</f>
        <v>45953</v>
      </c>
      <c r="F1069" s="24">
        <f t="shared" si="40"/>
        <v>45954</v>
      </c>
      <c r="G1069" s="142">
        <f t="shared" ref="G1069:G1071" si="352">B1068</f>
        <v>1067</v>
      </c>
      <c r="H1069" s="106" t="s">
        <v>23</v>
      </c>
    </row>
    <row r="1070" ht="18.75" customHeight="1">
      <c r="A1070" s="215"/>
      <c r="B1070" s="104">
        <f t="shared" si="2"/>
        <v>1069</v>
      </c>
      <c r="C1070" s="67" t="s">
        <v>1080</v>
      </c>
      <c r="D1070" s="110">
        <v>2.0</v>
      </c>
      <c r="E1070" s="22">
        <f t="shared" si="351"/>
        <v>45954</v>
      </c>
      <c r="F1070" s="24">
        <f t="shared" si="40"/>
        <v>45956</v>
      </c>
      <c r="G1070" s="142">
        <f t="shared" si="352"/>
        <v>1068</v>
      </c>
      <c r="H1070" s="101" t="s">
        <v>23</v>
      </c>
    </row>
    <row r="1071" ht="18.75" customHeight="1">
      <c r="A1071" s="215"/>
      <c r="B1071" s="104">
        <f t="shared" si="2"/>
        <v>1070</v>
      </c>
      <c r="C1071" s="67" t="s">
        <v>1081</v>
      </c>
      <c r="D1071" s="258">
        <v>1.0</v>
      </c>
      <c r="E1071" s="24">
        <f t="shared" si="351"/>
        <v>45956</v>
      </c>
      <c r="F1071" s="24">
        <f t="shared" si="40"/>
        <v>45957</v>
      </c>
      <c r="G1071" s="142">
        <f t="shared" si="352"/>
        <v>1069</v>
      </c>
      <c r="H1071" s="106" t="s">
        <v>49</v>
      </c>
    </row>
    <row r="1072" ht="18.75" customHeight="1">
      <c r="A1072" s="215"/>
      <c r="B1072" s="104">
        <f t="shared" si="2"/>
        <v>1071</v>
      </c>
      <c r="C1072" s="270" t="s">
        <v>1082</v>
      </c>
      <c r="D1072" s="101">
        <v>1.0</v>
      </c>
      <c r="E1072" s="24">
        <f>F918</f>
        <v>45952</v>
      </c>
      <c r="F1072" s="24">
        <f t="shared" si="40"/>
        <v>45953</v>
      </c>
      <c r="G1072" s="108">
        <f>B918</f>
        <v>917</v>
      </c>
      <c r="H1072" s="101" t="s">
        <v>10</v>
      </c>
    </row>
    <row r="1073" ht="18.75" customHeight="1">
      <c r="A1073" s="215"/>
      <c r="B1073" s="104">
        <f t="shared" si="2"/>
        <v>1072</v>
      </c>
      <c r="C1073" s="270" t="s">
        <v>1083</v>
      </c>
      <c r="D1073" s="115">
        <v>1.0</v>
      </c>
      <c r="E1073" s="24">
        <f t="shared" ref="E1073:E1075" si="353">F1072</f>
        <v>45953</v>
      </c>
      <c r="F1073" s="24">
        <f t="shared" si="40"/>
        <v>45954</v>
      </c>
      <c r="G1073" s="142">
        <f t="shared" ref="G1073:G1075" si="354">B1072</f>
        <v>1071</v>
      </c>
      <c r="H1073" s="106" t="s">
        <v>23</v>
      </c>
    </row>
    <row r="1074" ht="18.75" customHeight="1">
      <c r="A1074" s="215"/>
      <c r="B1074" s="104">
        <f t="shared" si="2"/>
        <v>1073</v>
      </c>
      <c r="C1074" s="270" t="s">
        <v>1084</v>
      </c>
      <c r="D1074" s="110">
        <v>2.0</v>
      </c>
      <c r="E1074" s="22">
        <f t="shared" si="353"/>
        <v>45954</v>
      </c>
      <c r="F1074" s="24">
        <f t="shared" si="40"/>
        <v>45956</v>
      </c>
      <c r="G1074" s="142">
        <f t="shared" si="354"/>
        <v>1072</v>
      </c>
      <c r="H1074" s="101" t="s">
        <v>23</v>
      </c>
    </row>
    <row r="1075" ht="18.75" customHeight="1">
      <c r="A1075" s="215"/>
      <c r="B1075" s="104">
        <f t="shared" si="2"/>
        <v>1074</v>
      </c>
      <c r="C1075" s="270" t="s">
        <v>1085</v>
      </c>
      <c r="D1075" s="258">
        <v>1.0</v>
      </c>
      <c r="E1075" s="24">
        <f t="shared" si="353"/>
        <v>45956</v>
      </c>
      <c r="F1075" s="24">
        <f t="shared" si="40"/>
        <v>45957</v>
      </c>
      <c r="G1075" s="142">
        <f t="shared" si="354"/>
        <v>1073</v>
      </c>
      <c r="H1075" s="106" t="s">
        <v>49</v>
      </c>
    </row>
    <row r="1076" ht="18.75" customHeight="1">
      <c r="A1076" s="274" t="s">
        <v>373</v>
      </c>
      <c r="B1076" s="99">
        <f t="shared" si="2"/>
        <v>1075</v>
      </c>
      <c r="C1076" s="67" t="s">
        <v>1086</v>
      </c>
      <c r="D1076" s="106">
        <v>1.0</v>
      </c>
      <c r="E1076" s="22">
        <f>F918</f>
        <v>45952</v>
      </c>
      <c r="F1076" s="22">
        <f t="shared" si="40"/>
        <v>45953</v>
      </c>
      <c r="G1076" s="31">
        <f>B918</f>
        <v>917</v>
      </c>
      <c r="H1076" s="101" t="s">
        <v>10</v>
      </c>
    </row>
    <row r="1077" ht="18.75" customHeight="1">
      <c r="A1077" s="276" t="s">
        <v>438</v>
      </c>
      <c r="B1077" s="104">
        <f t="shared" si="2"/>
        <v>1076</v>
      </c>
      <c r="C1077" s="67" t="s">
        <v>1087</v>
      </c>
      <c r="D1077" s="101">
        <v>2.0</v>
      </c>
      <c r="E1077" s="24">
        <f t="shared" ref="E1077:E1079" si="355">F1076</f>
        <v>45953</v>
      </c>
      <c r="F1077" s="24">
        <f t="shared" si="40"/>
        <v>45955</v>
      </c>
      <c r="G1077" s="142">
        <f t="shared" ref="G1077:G1079" si="356">B1076</f>
        <v>1075</v>
      </c>
      <c r="H1077" s="106" t="s">
        <v>23</v>
      </c>
    </row>
    <row r="1078" ht="18.75" customHeight="1">
      <c r="A1078" s="276" t="s">
        <v>440</v>
      </c>
      <c r="B1078" s="99">
        <f t="shared" si="2"/>
        <v>1077</v>
      </c>
      <c r="C1078" s="67" t="s">
        <v>1088</v>
      </c>
      <c r="D1078" s="106">
        <v>4.0</v>
      </c>
      <c r="E1078" s="22">
        <f t="shared" si="355"/>
        <v>45955</v>
      </c>
      <c r="F1078" s="22">
        <f t="shared" si="40"/>
        <v>45959</v>
      </c>
      <c r="G1078" s="142">
        <f t="shared" si="356"/>
        <v>1076</v>
      </c>
      <c r="H1078" s="101" t="s">
        <v>23</v>
      </c>
    </row>
    <row r="1079" ht="18.75" customHeight="1">
      <c r="A1079" s="268" t="s">
        <v>993</v>
      </c>
      <c r="B1079" s="104">
        <f t="shared" si="2"/>
        <v>1078</v>
      </c>
      <c r="C1079" s="67" t="s">
        <v>1089</v>
      </c>
      <c r="D1079" s="110">
        <v>1.0</v>
      </c>
      <c r="E1079" s="24">
        <f t="shared" si="355"/>
        <v>45959</v>
      </c>
      <c r="F1079" s="24">
        <f t="shared" si="40"/>
        <v>45960</v>
      </c>
      <c r="G1079" s="142">
        <f t="shared" si="356"/>
        <v>1077</v>
      </c>
      <c r="H1079" s="106" t="s">
        <v>49</v>
      </c>
    </row>
    <row r="1080" ht="18.75" customHeight="1">
      <c r="A1080" s="269"/>
      <c r="B1080" s="99">
        <f t="shared" si="2"/>
        <v>1079</v>
      </c>
      <c r="C1080" s="275" t="s">
        <v>443</v>
      </c>
      <c r="D1080" s="106">
        <v>1.0</v>
      </c>
      <c r="E1080" s="22">
        <f>F918</f>
        <v>45952</v>
      </c>
      <c r="F1080" s="22">
        <f t="shared" si="40"/>
        <v>45953</v>
      </c>
      <c r="G1080" s="142">
        <f>B918</f>
        <v>917</v>
      </c>
      <c r="H1080" s="101" t="s">
        <v>10</v>
      </c>
    </row>
    <row r="1081" ht="18.75" customHeight="1">
      <c r="A1081" s="269"/>
      <c r="B1081" s="104">
        <f t="shared" si="2"/>
        <v>1080</v>
      </c>
      <c r="C1081" s="275" t="s">
        <v>444</v>
      </c>
      <c r="D1081" s="101">
        <v>2.0</v>
      </c>
      <c r="E1081" s="24">
        <f t="shared" ref="E1081:E1083" si="357">F1080</f>
        <v>45953</v>
      </c>
      <c r="F1081" s="24">
        <f t="shared" si="40"/>
        <v>45955</v>
      </c>
      <c r="G1081" s="142">
        <f t="shared" ref="G1081:G1083" si="358">B1080</f>
        <v>1079</v>
      </c>
      <c r="H1081" s="106" t="s">
        <v>23</v>
      </c>
    </row>
    <row r="1082" ht="18.75" customHeight="1">
      <c r="A1082" s="269"/>
      <c r="B1082" s="99">
        <f t="shared" si="2"/>
        <v>1081</v>
      </c>
      <c r="C1082" s="275" t="s">
        <v>445</v>
      </c>
      <c r="D1082" s="106">
        <v>4.0</v>
      </c>
      <c r="E1082" s="22">
        <f t="shared" si="357"/>
        <v>45955</v>
      </c>
      <c r="F1082" s="22">
        <f t="shared" si="40"/>
        <v>45959</v>
      </c>
      <c r="G1082" s="142">
        <f t="shared" si="358"/>
        <v>1080</v>
      </c>
      <c r="H1082" s="101" t="s">
        <v>23</v>
      </c>
    </row>
    <row r="1083" ht="18.75" customHeight="1">
      <c r="A1083" s="269"/>
      <c r="B1083" s="104">
        <f t="shared" si="2"/>
        <v>1082</v>
      </c>
      <c r="C1083" s="275" t="s">
        <v>446</v>
      </c>
      <c r="D1083" s="110">
        <v>1.0</v>
      </c>
      <c r="E1083" s="24">
        <f t="shared" si="357"/>
        <v>45959</v>
      </c>
      <c r="F1083" s="24">
        <f t="shared" si="40"/>
        <v>45960</v>
      </c>
      <c r="G1083" s="142">
        <f t="shared" si="358"/>
        <v>1081</v>
      </c>
      <c r="H1083" s="106" t="s">
        <v>49</v>
      </c>
    </row>
    <row r="1084" ht="18.75" customHeight="1">
      <c r="A1084" s="269"/>
      <c r="B1084" s="99">
        <f t="shared" si="2"/>
        <v>1083</v>
      </c>
      <c r="C1084" s="20" t="s">
        <v>447</v>
      </c>
      <c r="D1084" s="106">
        <v>1.0</v>
      </c>
      <c r="E1084" s="22">
        <f>F918</f>
        <v>45952</v>
      </c>
      <c r="F1084" s="22">
        <f t="shared" si="40"/>
        <v>45953</v>
      </c>
      <c r="G1084" s="31">
        <f>B918</f>
        <v>917</v>
      </c>
      <c r="H1084" s="101" t="s">
        <v>10</v>
      </c>
    </row>
    <row r="1085" ht="18.75" customHeight="1">
      <c r="A1085" s="269"/>
      <c r="B1085" s="99">
        <f t="shared" si="2"/>
        <v>1084</v>
      </c>
      <c r="C1085" s="20" t="s">
        <v>448</v>
      </c>
      <c r="D1085" s="101">
        <v>2.0</v>
      </c>
      <c r="E1085" s="24">
        <f t="shared" ref="E1085:E1087" si="359">F1084</f>
        <v>45953</v>
      </c>
      <c r="F1085" s="22">
        <f t="shared" si="40"/>
        <v>45955</v>
      </c>
      <c r="G1085" s="142">
        <f t="shared" ref="G1085:G1087" si="360">B1084</f>
        <v>1083</v>
      </c>
      <c r="H1085" s="106" t="s">
        <v>23</v>
      </c>
    </row>
    <row r="1086" ht="18.75" customHeight="1">
      <c r="A1086" s="269"/>
      <c r="B1086" s="99">
        <f t="shared" si="2"/>
        <v>1085</v>
      </c>
      <c r="C1086" s="20" t="s">
        <v>449</v>
      </c>
      <c r="D1086" s="106">
        <v>4.0</v>
      </c>
      <c r="E1086" s="22">
        <f t="shared" si="359"/>
        <v>45955</v>
      </c>
      <c r="F1086" s="22">
        <f t="shared" si="40"/>
        <v>45959</v>
      </c>
      <c r="G1086" s="142">
        <f t="shared" si="360"/>
        <v>1084</v>
      </c>
      <c r="H1086" s="101" t="s">
        <v>23</v>
      </c>
    </row>
    <row r="1087" ht="18.75" customHeight="1">
      <c r="A1087" s="269"/>
      <c r="B1087" s="99">
        <f t="shared" si="2"/>
        <v>1086</v>
      </c>
      <c r="C1087" s="20" t="s">
        <v>450</v>
      </c>
      <c r="D1087" s="110">
        <v>1.0</v>
      </c>
      <c r="E1087" s="24">
        <f t="shared" si="359"/>
        <v>45959</v>
      </c>
      <c r="F1087" s="22">
        <f t="shared" si="40"/>
        <v>45960</v>
      </c>
      <c r="G1087" s="142">
        <f t="shared" si="360"/>
        <v>1085</v>
      </c>
      <c r="H1087" s="106" t="s">
        <v>49</v>
      </c>
    </row>
    <row r="1088" ht="18.75" customHeight="1">
      <c r="A1088" s="269"/>
      <c r="B1088" s="99">
        <f t="shared" si="2"/>
        <v>1087</v>
      </c>
      <c r="C1088" s="270" t="s">
        <v>1090</v>
      </c>
      <c r="D1088" s="106">
        <v>1.0</v>
      </c>
      <c r="E1088" s="22">
        <f>F918</f>
        <v>45952</v>
      </c>
      <c r="F1088" s="22">
        <f t="shared" si="40"/>
        <v>45953</v>
      </c>
      <c r="G1088" s="31">
        <f>B918</f>
        <v>917</v>
      </c>
      <c r="H1088" s="101" t="s">
        <v>10</v>
      </c>
    </row>
    <row r="1089" ht="18.75" customHeight="1">
      <c r="A1089" s="269"/>
      <c r="B1089" s="99">
        <f t="shared" si="2"/>
        <v>1088</v>
      </c>
      <c r="C1089" s="270" t="s">
        <v>1091</v>
      </c>
      <c r="D1089" s="101">
        <v>2.0</v>
      </c>
      <c r="E1089" s="24">
        <f t="shared" ref="E1089:E1091" si="361">F1088</f>
        <v>45953</v>
      </c>
      <c r="F1089" s="22">
        <f t="shared" si="40"/>
        <v>45955</v>
      </c>
      <c r="G1089" s="142">
        <f t="shared" ref="G1089:G1091" si="362">B1088</f>
        <v>1087</v>
      </c>
      <c r="H1089" s="106" t="s">
        <v>23</v>
      </c>
    </row>
    <row r="1090" ht="18.75" customHeight="1">
      <c r="A1090" s="269"/>
      <c r="B1090" s="99">
        <f t="shared" si="2"/>
        <v>1089</v>
      </c>
      <c r="C1090" s="270" t="s">
        <v>1092</v>
      </c>
      <c r="D1090" s="106">
        <v>4.0</v>
      </c>
      <c r="E1090" s="22">
        <f t="shared" si="361"/>
        <v>45955</v>
      </c>
      <c r="F1090" s="22">
        <f t="shared" si="40"/>
        <v>45959</v>
      </c>
      <c r="G1090" s="142">
        <f t="shared" si="362"/>
        <v>1088</v>
      </c>
      <c r="H1090" s="101" t="s">
        <v>23</v>
      </c>
    </row>
    <row r="1091" ht="18.75" customHeight="1">
      <c r="A1091" s="269"/>
      <c r="B1091" s="99">
        <f t="shared" si="2"/>
        <v>1090</v>
      </c>
      <c r="C1091" s="270" t="s">
        <v>1093</v>
      </c>
      <c r="D1091" s="110">
        <v>1.0</v>
      </c>
      <c r="E1091" s="24">
        <f t="shared" si="361"/>
        <v>45959</v>
      </c>
      <c r="F1091" s="22">
        <f t="shared" si="40"/>
        <v>45960</v>
      </c>
      <c r="G1091" s="142">
        <f t="shared" si="362"/>
        <v>1089</v>
      </c>
      <c r="H1091" s="106" t="s">
        <v>49</v>
      </c>
    </row>
    <row r="1092" ht="18.75" customHeight="1">
      <c r="A1092" s="269"/>
      <c r="B1092" s="99">
        <f t="shared" si="2"/>
        <v>1091</v>
      </c>
      <c r="C1092" s="67" t="s">
        <v>1094</v>
      </c>
      <c r="D1092" s="101">
        <v>1.0</v>
      </c>
      <c r="E1092" s="22">
        <f>F918</f>
        <v>45952</v>
      </c>
      <c r="F1092" s="22">
        <f t="shared" si="40"/>
        <v>45953</v>
      </c>
      <c r="G1092" s="31">
        <f>B918</f>
        <v>917</v>
      </c>
      <c r="H1092" s="101" t="s">
        <v>10</v>
      </c>
    </row>
    <row r="1093" ht="18.75" customHeight="1">
      <c r="A1093" s="269"/>
      <c r="B1093" s="99">
        <f t="shared" si="2"/>
        <v>1092</v>
      </c>
      <c r="C1093" s="67" t="s">
        <v>1095</v>
      </c>
      <c r="D1093" s="115">
        <v>1.0</v>
      </c>
      <c r="E1093" s="24">
        <f t="shared" ref="E1093:E1095" si="363">F1092</f>
        <v>45953</v>
      </c>
      <c r="F1093" s="22">
        <f t="shared" si="40"/>
        <v>45954</v>
      </c>
      <c r="G1093" s="142">
        <f t="shared" ref="G1093:G1095" si="364">B1092</f>
        <v>1091</v>
      </c>
      <c r="H1093" s="106" t="s">
        <v>23</v>
      </c>
    </row>
    <row r="1094" ht="18.75" customHeight="1">
      <c r="A1094" s="269"/>
      <c r="B1094" s="99">
        <f t="shared" si="2"/>
        <v>1093</v>
      </c>
      <c r="C1094" s="67" t="s">
        <v>1096</v>
      </c>
      <c r="D1094" s="110">
        <v>2.0</v>
      </c>
      <c r="E1094" s="22">
        <f t="shared" si="363"/>
        <v>45954</v>
      </c>
      <c r="F1094" s="22">
        <f t="shared" si="40"/>
        <v>45956</v>
      </c>
      <c r="G1094" s="142">
        <f t="shared" si="364"/>
        <v>1092</v>
      </c>
      <c r="H1094" s="101" t="s">
        <v>23</v>
      </c>
    </row>
    <row r="1095" ht="18.75" customHeight="1">
      <c r="A1095" s="269"/>
      <c r="B1095" s="99">
        <f t="shared" si="2"/>
        <v>1094</v>
      </c>
      <c r="C1095" s="67" t="s">
        <v>1097</v>
      </c>
      <c r="D1095" s="258">
        <v>1.0</v>
      </c>
      <c r="E1095" s="24">
        <f t="shared" si="363"/>
        <v>45956</v>
      </c>
      <c r="F1095" s="22">
        <f t="shared" si="40"/>
        <v>45957</v>
      </c>
      <c r="G1095" s="142">
        <f t="shared" si="364"/>
        <v>1093</v>
      </c>
      <c r="H1095" s="106" t="s">
        <v>49</v>
      </c>
    </row>
    <row r="1096" ht="18.75" customHeight="1">
      <c r="A1096" s="269"/>
      <c r="B1096" s="99">
        <f t="shared" si="2"/>
        <v>1095</v>
      </c>
      <c r="C1096" s="270" t="s">
        <v>1098</v>
      </c>
      <c r="D1096" s="101">
        <v>1.0</v>
      </c>
      <c r="E1096" s="22">
        <f>F918</f>
        <v>45952</v>
      </c>
      <c r="F1096" s="22">
        <f t="shared" si="40"/>
        <v>45953</v>
      </c>
      <c r="G1096" s="31">
        <f>B918</f>
        <v>917</v>
      </c>
      <c r="H1096" s="101" t="s">
        <v>10</v>
      </c>
    </row>
    <row r="1097" ht="18.75" customHeight="1">
      <c r="A1097" s="269"/>
      <c r="B1097" s="99">
        <f t="shared" si="2"/>
        <v>1096</v>
      </c>
      <c r="C1097" s="270" t="s">
        <v>1099</v>
      </c>
      <c r="D1097" s="115">
        <v>1.0</v>
      </c>
      <c r="E1097" s="24">
        <f t="shared" ref="E1097:E1099" si="365">F1096</f>
        <v>45953</v>
      </c>
      <c r="F1097" s="22">
        <f t="shared" si="40"/>
        <v>45954</v>
      </c>
      <c r="G1097" s="142">
        <f t="shared" ref="G1097:G1099" si="366">B1096</f>
        <v>1095</v>
      </c>
      <c r="H1097" s="106" t="s">
        <v>23</v>
      </c>
    </row>
    <row r="1098" ht="18.75" customHeight="1">
      <c r="A1098" s="269"/>
      <c r="B1098" s="99">
        <f t="shared" si="2"/>
        <v>1097</v>
      </c>
      <c r="C1098" s="270" t="s">
        <v>1100</v>
      </c>
      <c r="D1098" s="110">
        <v>2.0</v>
      </c>
      <c r="E1098" s="22">
        <f t="shared" si="365"/>
        <v>45954</v>
      </c>
      <c r="F1098" s="22">
        <f t="shared" si="40"/>
        <v>45956</v>
      </c>
      <c r="G1098" s="142">
        <f t="shared" si="366"/>
        <v>1096</v>
      </c>
      <c r="H1098" s="101" t="s">
        <v>23</v>
      </c>
    </row>
    <row r="1099" ht="18.75" customHeight="1">
      <c r="A1099" s="269"/>
      <c r="B1099" s="99">
        <f t="shared" si="2"/>
        <v>1098</v>
      </c>
      <c r="C1099" s="270" t="s">
        <v>1101</v>
      </c>
      <c r="D1099" s="258">
        <v>1.0</v>
      </c>
      <c r="E1099" s="24">
        <f t="shared" si="365"/>
        <v>45956</v>
      </c>
      <c r="F1099" s="22">
        <f t="shared" si="40"/>
        <v>45957</v>
      </c>
      <c r="G1099" s="142">
        <f t="shared" si="366"/>
        <v>1097</v>
      </c>
      <c r="H1099" s="106" t="s">
        <v>49</v>
      </c>
    </row>
    <row r="1100" ht="18.75" customHeight="1">
      <c r="A1100" s="75" t="s">
        <v>1102</v>
      </c>
      <c r="B1100" s="99">
        <f t="shared" si="2"/>
        <v>1099</v>
      </c>
      <c r="C1100" s="78" t="s">
        <v>1103</v>
      </c>
      <c r="D1100" s="101">
        <v>1.0</v>
      </c>
      <c r="E1100" s="22">
        <f>F910</f>
        <v>45942</v>
      </c>
      <c r="F1100" s="22">
        <f t="shared" si="40"/>
        <v>45943</v>
      </c>
      <c r="G1100" s="31">
        <f>B918</f>
        <v>917</v>
      </c>
      <c r="H1100" s="101" t="s">
        <v>10</v>
      </c>
    </row>
    <row r="1101" ht="18.75" customHeight="1">
      <c r="A1101" s="220" t="s">
        <v>1104</v>
      </c>
      <c r="B1101" s="104">
        <f t="shared" si="2"/>
        <v>1100</v>
      </c>
      <c r="C1101" s="78" t="s">
        <v>1105</v>
      </c>
      <c r="D1101" s="106">
        <v>2.0</v>
      </c>
      <c r="E1101" s="24">
        <f t="shared" ref="E1101:E1112" si="367">F1100</f>
        <v>45943</v>
      </c>
      <c r="F1101" s="24">
        <f t="shared" si="40"/>
        <v>45945</v>
      </c>
      <c r="G1101" s="107">
        <f t="shared" ref="G1101:G1112" si="368">B1100</f>
        <v>1099</v>
      </c>
      <c r="H1101" s="106" t="s">
        <v>23</v>
      </c>
    </row>
    <row r="1102" ht="18.75" customHeight="1">
      <c r="A1102" s="220"/>
      <c r="B1102" s="99">
        <f t="shared" si="2"/>
        <v>1101</v>
      </c>
      <c r="C1102" s="78" t="s">
        <v>1106</v>
      </c>
      <c r="D1102" s="101">
        <v>2.0</v>
      </c>
      <c r="E1102" s="22">
        <f t="shared" si="367"/>
        <v>45945</v>
      </c>
      <c r="F1102" s="22">
        <f t="shared" si="40"/>
        <v>45947</v>
      </c>
      <c r="G1102" s="31">
        <f t="shared" si="368"/>
        <v>1100</v>
      </c>
      <c r="H1102" s="101" t="s">
        <v>23</v>
      </c>
    </row>
    <row r="1103" ht="18.75" customHeight="1">
      <c r="A1103" s="277"/>
      <c r="B1103" s="104">
        <f t="shared" si="2"/>
        <v>1102</v>
      </c>
      <c r="C1103" s="78" t="s">
        <v>1107</v>
      </c>
      <c r="D1103" s="106">
        <v>4.0</v>
      </c>
      <c r="E1103" s="24">
        <f t="shared" si="367"/>
        <v>45947</v>
      </c>
      <c r="F1103" s="24">
        <f t="shared" si="40"/>
        <v>45951</v>
      </c>
      <c r="G1103" s="107">
        <f t="shared" si="368"/>
        <v>1101</v>
      </c>
      <c r="H1103" s="106" t="s">
        <v>23</v>
      </c>
    </row>
    <row r="1104" ht="18.75" customHeight="1">
      <c r="A1104" s="277"/>
      <c r="B1104" s="99">
        <f t="shared" si="2"/>
        <v>1103</v>
      </c>
      <c r="C1104" s="78" t="s">
        <v>1108</v>
      </c>
      <c r="D1104" s="266">
        <v>1.0</v>
      </c>
      <c r="E1104" s="22">
        <f t="shared" si="367"/>
        <v>45951</v>
      </c>
      <c r="F1104" s="22">
        <f t="shared" si="40"/>
        <v>45952</v>
      </c>
      <c r="G1104" s="107">
        <f t="shared" si="368"/>
        <v>1102</v>
      </c>
      <c r="H1104" s="101" t="s">
        <v>49</v>
      </c>
    </row>
    <row r="1105" ht="18.75" customHeight="1">
      <c r="A1105" s="277"/>
      <c r="B1105" s="104">
        <f t="shared" si="2"/>
        <v>1104</v>
      </c>
      <c r="C1105" s="78" t="s">
        <v>1109</v>
      </c>
      <c r="D1105" s="106">
        <v>1.0</v>
      </c>
      <c r="E1105" s="24">
        <f t="shared" si="367"/>
        <v>45952</v>
      </c>
      <c r="F1105" s="24">
        <f t="shared" si="40"/>
        <v>45953</v>
      </c>
      <c r="G1105" s="107">
        <f t="shared" si="368"/>
        <v>1103</v>
      </c>
      <c r="H1105" s="106" t="s">
        <v>10</v>
      </c>
    </row>
    <row r="1106" ht="18.75" customHeight="1">
      <c r="A1106" s="277"/>
      <c r="B1106" s="99">
        <f t="shared" si="2"/>
        <v>1105</v>
      </c>
      <c r="C1106" s="78" t="s">
        <v>1110</v>
      </c>
      <c r="D1106" s="101">
        <v>1.0</v>
      </c>
      <c r="E1106" s="22">
        <f t="shared" si="367"/>
        <v>45953</v>
      </c>
      <c r="F1106" s="22">
        <f t="shared" si="40"/>
        <v>45954</v>
      </c>
      <c r="G1106" s="107">
        <f t="shared" si="368"/>
        <v>1104</v>
      </c>
      <c r="H1106" s="101" t="s">
        <v>23</v>
      </c>
    </row>
    <row r="1107" ht="18.75" customHeight="1">
      <c r="A1107" s="277"/>
      <c r="B1107" s="104">
        <f t="shared" si="2"/>
        <v>1106</v>
      </c>
      <c r="C1107" s="78" t="s">
        <v>1111</v>
      </c>
      <c r="D1107" s="106">
        <v>2.0</v>
      </c>
      <c r="E1107" s="24">
        <f t="shared" si="367"/>
        <v>45954</v>
      </c>
      <c r="F1107" s="24">
        <f t="shared" si="40"/>
        <v>45956</v>
      </c>
      <c r="G1107" s="107">
        <f t="shared" si="368"/>
        <v>1105</v>
      </c>
      <c r="H1107" s="106" t="s">
        <v>23</v>
      </c>
    </row>
    <row r="1108" ht="18.75" customHeight="1">
      <c r="A1108" s="277"/>
      <c r="B1108" s="99">
        <f t="shared" si="2"/>
        <v>1107</v>
      </c>
      <c r="C1108" s="78" t="s">
        <v>1112</v>
      </c>
      <c r="D1108" s="101">
        <v>1.0</v>
      </c>
      <c r="E1108" s="22">
        <f t="shared" si="367"/>
        <v>45956</v>
      </c>
      <c r="F1108" s="22">
        <f t="shared" si="40"/>
        <v>45957</v>
      </c>
      <c r="G1108" s="107">
        <f t="shared" si="368"/>
        <v>1106</v>
      </c>
      <c r="H1108" s="101" t="s">
        <v>49</v>
      </c>
    </row>
    <row r="1109" ht="18.75" customHeight="1">
      <c r="A1109" s="277"/>
      <c r="B1109" s="142">
        <f t="shared" si="2"/>
        <v>1108</v>
      </c>
      <c r="C1109" s="78" t="s">
        <v>1113</v>
      </c>
      <c r="D1109" s="101">
        <v>1.0</v>
      </c>
      <c r="E1109" s="22">
        <f t="shared" si="367"/>
        <v>45957</v>
      </c>
      <c r="F1109" s="22">
        <f t="shared" si="40"/>
        <v>45958</v>
      </c>
      <c r="G1109" s="107">
        <f t="shared" si="368"/>
        <v>1107</v>
      </c>
      <c r="H1109" s="101" t="s">
        <v>10</v>
      </c>
    </row>
    <row r="1110" ht="18.75" customHeight="1">
      <c r="A1110" s="277"/>
      <c r="B1110" s="108">
        <f t="shared" si="2"/>
        <v>1109</v>
      </c>
      <c r="C1110" s="78" t="s">
        <v>1114</v>
      </c>
      <c r="D1110" s="106">
        <v>1.0</v>
      </c>
      <c r="E1110" s="24">
        <f t="shared" si="367"/>
        <v>45958</v>
      </c>
      <c r="F1110" s="24">
        <f t="shared" si="40"/>
        <v>45959</v>
      </c>
      <c r="G1110" s="107">
        <f t="shared" si="368"/>
        <v>1108</v>
      </c>
      <c r="H1110" s="106" t="s">
        <v>23</v>
      </c>
    </row>
    <row r="1111" ht="18.75" customHeight="1">
      <c r="A1111" s="277"/>
      <c r="B1111" s="142">
        <f t="shared" si="2"/>
        <v>1110</v>
      </c>
      <c r="C1111" s="78" t="s">
        <v>1115</v>
      </c>
      <c r="D1111" s="101">
        <v>2.0</v>
      </c>
      <c r="E1111" s="22">
        <f t="shared" si="367"/>
        <v>45959</v>
      </c>
      <c r="F1111" s="22">
        <f t="shared" si="40"/>
        <v>45961</v>
      </c>
      <c r="G1111" s="107">
        <f t="shared" si="368"/>
        <v>1109</v>
      </c>
      <c r="H1111" s="101" t="s">
        <v>23</v>
      </c>
    </row>
    <row r="1112" ht="18.75" customHeight="1">
      <c r="A1112" s="277"/>
      <c r="B1112" s="108">
        <f t="shared" si="2"/>
        <v>1111</v>
      </c>
      <c r="C1112" s="78" t="s">
        <v>1116</v>
      </c>
      <c r="D1112" s="115">
        <v>1.0</v>
      </c>
      <c r="E1112" s="24">
        <f t="shared" si="367"/>
        <v>45961</v>
      </c>
      <c r="F1112" s="24">
        <f t="shared" si="40"/>
        <v>45962</v>
      </c>
      <c r="G1112" s="107">
        <f t="shared" si="368"/>
        <v>1110</v>
      </c>
      <c r="H1112" s="106" t="s">
        <v>49</v>
      </c>
    </row>
    <row r="1113" ht="18.75" customHeight="1">
      <c r="A1113" s="75" t="s">
        <v>1117</v>
      </c>
      <c r="B1113" s="104">
        <f t="shared" si="2"/>
        <v>1112</v>
      </c>
      <c r="C1113" s="78" t="s">
        <v>1118</v>
      </c>
      <c r="D1113" s="101">
        <v>1.0</v>
      </c>
      <c r="E1113" s="22">
        <f>F910</f>
        <v>45942</v>
      </c>
      <c r="F1113" s="22">
        <f t="shared" si="40"/>
        <v>45943</v>
      </c>
      <c r="G1113" s="31">
        <f>B918</f>
        <v>917</v>
      </c>
      <c r="H1113" s="106" t="s">
        <v>10</v>
      </c>
    </row>
    <row r="1114" ht="18.75" customHeight="1">
      <c r="A1114" s="220" t="s">
        <v>1119</v>
      </c>
      <c r="B1114" s="99">
        <f t="shared" si="2"/>
        <v>1113</v>
      </c>
      <c r="C1114" s="78" t="s">
        <v>1120</v>
      </c>
      <c r="D1114" s="106">
        <v>2.0</v>
      </c>
      <c r="E1114" s="24">
        <f t="shared" ref="E1114:E1125" si="369">F1113</f>
        <v>45943</v>
      </c>
      <c r="F1114" s="24">
        <f t="shared" si="40"/>
        <v>45945</v>
      </c>
      <c r="G1114" s="107">
        <f t="shared" ref="G1114:G1125" si="370">B1113</f>
        <v>1112</v>
      </c>
      <c r="H1114" s="101" t="s">
        <v>23</v>
      </c>
    </row>
    <row r="1115" ht="18.75" customHeight="1">
      <c r="A1115" s="277"/>
      <c r="B1115" s="104">
        <f t="shared" si="2"/>
        <v>1114</v>
      </c>
      <c r="C1115" s="78" t="s">
        <v>1121</v>
      </c>
      <c r="D1115" s="101">
        <v>2.0</v>
      </c>
      <c r="E1115" s="22">
        <f t="shared" si="369"/>
        <v>45945</v>
      </c>
      <c r="F1115" s="22">
        <f t="shared" si="40"/>
        <v>45947</v>
      </c>
      <c r="G1115" s="31">
        <f t="shared" si="370"/>
        <v>1113</v>
      </c>
      <c r="H1115" s="106" t="s">
        <v>23</v>
      </c>
    </row>
    <row r="1116" ht="18.75" customHeight="1">
      <c r="A1116" s="277"/>
      <c r="B1116" s="99">
        <f t="shared" si="2"/>
        <v>1115</v>
      </c>
      <c r="C1116" s="78" t="s">
        <v>1122</v>
      </c>
      <c r="D1116" s="106">
        <v>4.0</v>
      </c>
      <c r="E1116" s="24">
        <f t="shared" si="369"/>
        <v>45947</v>
      </c>
      <c r="F1116" s="24">
        <f t="shared" si="40"/>
        <v>45951</v>
      </c>
      <c r="G1116" s="107">
        <f t="shared" si="370"/>
        <v>1114</v>
      </c>
      <c r="H1116" s="101" t="s">
        <v>23</v>
      </c>
    </row>
    <row r="1117" ht="18.75" customHeight="1">
      <c r="A1117" s="277"/>
      <c r="B1117" s="104">
        <f t="shared" si="2"/>
        <v>1116</v>
      </c>
      <c r="C1117" s="78" t="s">
        <v>1123</v>
      </c>
      <c r="D1117" s="266">
        <v>1.0</v>
      </c>
      <c r="E1117" s="22">
        <f t="shared" si="369"/>
        <v>45951</v>
      </c>
      <c r="F1117" s="22">
        <f t="shared" si="40"/>
        <v>45952</v>
      </c>
      <c r="G1117" s="107">
        <f t="shared" si="370"/>
        <v>1115</v>
      </c>
      <c r="H1117" s="106" t="s">
        <v>49</v>
      </c>
    </row>
    <row r="1118" ht="18.75" customHeight="1">
      <c r="A1118" s="277"/>
      <c r="B1118" s="99">
        <f t="shared" si="2"/>
        <v>1117</v>
      </c>
      <c r="C1118" s="78" t="s">
        <v>1124</v>
      </c>
      <c r="D1118" s="106">
        <v>1.0</v>
      </c>
      <c r="E1118" s="24">
        <f t="shared" si="369"/>
        <v>45952</v>
      </c>
      <c r="F1118" s="24">
        <f t="shared" si="40"/>
        <v>45953</v>
      </c>
      <c r="G1118" s="107">
        <f t="shared" si="370"/>
        <v>1116</v>
      </c>
      <c r="H1118" s="101" t="s">
        <v>10</v>
      </c>
    </row>
    <row r="1119" ht="18.75" customHeight="1">
      <c r="A1119" s="277"/>
      <c r="B1119" s="104">
        <f t="shared" si="2"/>
        <v>1118</v>
      </c>
      <c r="C1119" s="78" t="s">
        <v>1125</v>
      </c>
      <c r="D1119" s="101">
        <v>1.0</v>
      </c>
      <c r="E1119" s="22">
        <f t="shared" si="369"/>
        <v>45953</v>
      </c>
      <c r="F1119" s="22">
        <f t="shared" si="40"/>
        <v>45954</v>
      </c>
      <c r="G1119" s="107">
        <f t="shared" si="370"/>
        <v>1117</v>
      </c>
      <c r="H1119" s="106" t="s">
        <v>23</v>
      </c>
    </row>
    <row r="1120" ht="18.75" customHeight="1">
      <c r="A1120" s="277"/>
      <c r="B1120" s="99">
        <f t="shared" si="2"/>
        <v>1119</v>
      </c>
      <c r="C1120" s="78" t="s">
        <v>1126</v>
      </c>
      <c r="D1120" s="106">
        <v>2.0</v>
      </c>
      <c r="E1120" s="24">
        <f t="shared" si="369"/>
        <v>45954</v>
      </c>
      <c r="F1120" s="24">
        <f t="shared" si="40"/>
        <v>45956</v>
      </c>
      <c r="G1120" s="107">
        <f t="shared" si="370"/>
        <v>1118</v>
      </c>
      <c r="H1120" s="101" t="s">
        <v>23</v>
      </c>
    </row>
    <row r="1121" ht="18.75" customHeight="1">
      <c r="A1121" s="277"/>
      <c r="B1121" s="104">
        <f t="shared" si="2"/>
        <v>1120</v>
      </c>
      <c r="C1121" s="78" t="s">
        <v>1127</v>
      </c>
      <c r="D1121" s="101">
        <v>1.0</v>
      </c>
      <c r="E1121" s="22">
        <f t="shared" si="369"/>
        <v>45956</v>
      </c>
      <c r="F1121" s="22">
        <f t="shared" si="40"/>
        <v>45957</v>
      </c>
      <c r="G1121" s="107">
        <f t="shared" si="370"/>
        <v>1119</v>
      </c>
      <c r="H1121" s="106" t="s">
        <v>49</v>
      </c>
    </row>
    <row r="1122" ht="18.75" customHeight="1">
      <c r="A1122" s="277"/>
      <c r="B1122" s="142">
        <f t="shared" si="2"/>
        <v>1121</v>
      </c>
      <c r="C1122" s="78" t="s">
        <v>1128</v>
      </c>
      <c r="D1122" s="101">
        <v>1.0</v>
      </c>
      <c r="E1122" s="22">
        <f t="shared" si="369"/>
        <v>45957</v>
      </c>
      <c r="F1122" s="22">
        <f t="shared" si="40"/>
        <v>45958</v>
      </c>
      <c r="G1122" s="107">
        <f t="shared" si="370"/>
        <v>1120</v>
      </c>
      <c r="H1122" s="101" t="s">
        <v>10</v>
      </c>
    </row>
    <row r="1123" ht="18.75" customHeight="1">
      <c r="A1123" s="277"/>
      <c r="B1123" s="108">
        <f t="shared" si="2"/>
        <v>1122</v>
      </c>
      <c r="C1123" s="78" t="s">
        <v>1129</v>
      </c>
      <c r="D1123" s="106">
        <v>1.0</v>
      </c>
      <c r="E1123" s="24">
        <f t="shared" si="369"/>
        <v>45958</v>
      </c>
      <c r="F1123" s="24">
        <f t="shared" si="40"/>
        <v>45959</v>
      </c>
      <c r="G1123" s="107">
        <f t="shared" si="370"/>
        <v>1121</v>
      </c>
      <c r="H1123" s="106" t="s">
        <v>23</v>
      </c>
    </row>
    <row r="1124" ht="18.75" customHeight="1">
      <c r="A1124" s="277"/>
      <c r="B1124" s="142">
        <f t="shared" si="2"/>
        <v>1123</v>
      </c>
      <c r="C1124" s="78" t="s">
        <v>1130</v>
      </c>
      <c r="D1124" s="101">
        <v>2.0</v>
      </c>
      <c r="E1124" s="22">
        <f t="shared" si="369"/>
        <v>45959</v>
      </c>
      <c r="F1124" s="22">
        <f t="shared" si="40"/>
        <v>45961</v>
      </c>
      <c r="G1124" s="107">
        <f t="shared" si="370"/>
        <v>1122</v>
      </c>
      <c r="H1124" s="101" t="s">
        <v>23</v>
      </c>
    </row>
    <row r="1125" ht="18.75" customHeight="1">
      <c r="A1125" s="277"/>
      <c r="B1125" s="108">
        <f t="shared" si="2"/>
        <v>1124</v>
      </c>
      <c r="C1125" s="78" t="s">
        <v>1131</v>
      </c>
      <c r="D1125" s="115">
        <v>1.0</v>
      </c>
      <c r="E1125" s="24">
        <f t="shared" si="369"/>
        <v>45961</v>
      </c>
      <c r="F1125" s="24">
        <f t="shared" si="40"/>
        <v>45962</v>
      </c>
      <c r="G1125" s="107">
        <f t="shared" si="370"/>
        <v>1123</v>
      </c>
      <c r="H1125" s="106" t="s">
        <v>49</v>
      </c>
    </row>
    <row r="1126" ht="18.75" customHeight="1">
      <c r="A1126" s="75" t="s">
        <v>1132</v>
      </c>
      <c r="B1126" s="99">
        <f t="shared" si="2"/>
        <v>1125</v>
      </c>
      <c r="C1126" s="78" t="s">
        <v>1133</v>
      </c>
      <c r="D1126" s="101">
        <v>1.0</v>
      </c>
      <c r="E1126" s="22">
        <f>F910</f>
        <v>45942</v>
      </c>
      <c r="F1126" s="22">
        <f t="shared" si="40"/>
        <v>45943</v>
      </c>
      <c r="G1126" s="31">
        <f>B918</f>
        <v>917</v>
      </c>
      <c r="H1126" s="101" t="s">
        <v>10</v>
      </c>
    </row>
    <row r="1127" ht="18.75" customHeight="1">
      <c r="A1127" s="277"/>
      <c r="B1127" s="104">
        <f t="shared" si="2"/>
        <v>1126</v>
      </c>
      <c r="C1127" s="78" t="s">
        <v>1134</v>
      </c>
      <c r="D1127" s="106">
        <v>2.0</v>
      </c>
      <c r="E1127" s="24">
        <f t="shared" ref="E1127:E1142" si="371">F1126</f>
        <v>45943</v>
      </c>
      <c r="F1127" s="24">
        <f t="shared" si="40"/>
        <v>45945</v>
      </c>
      <c r="G1127" s="107">
        <f t="shared" ref="G1127:G1138" si="372">B1126</f>
        <v>1125</v>
      </c>
      <c r="H1127" s="106" t="s">
        <v>23</v>
      </c>
    </row>
    <row r="1128" ht="18.75" customHeight="1">
      <c r="A1128" s="277"/>
      <c r="B1128" s="99">
        <f t="shared" si="2"/>
        <v>1127</v>
      </c>
      <c r="C1128" s="78" t="s">
        <v>1135</v>
      </c>
      <c r="D1128" s="101">
        <v>2.0</v>
      </c>
      <c r="E1128" s="22">
        <f t="shared" si="371"/>
        <v>45945</v>
      </c>
      <c r="F1128" s="22">
        <f t="shared" si="40"/>
        <v>45947</v>
      </c>
      <c r="G1128" s="31">
        <f t="shared" si="372"/>
        <v>1126</v>
      </c>
      <c r="H1128" s="101" t="s">
        <v>23</v>
      </c>
    </row>
    <row r="1129" ht="18.75" customHeight="1">
      <c r="A1129" s="277"/>
      <c r="B1129" s="104">
        <f t="shared" si="2"/>
        <v>1128</v>
      </c>
      <c r="C1129" s="78" t="s">
        <v>1136</v>
      </c>
      <c r="D1129" s="106">
        <v>4.0</v>
      </c>
      <c r="E1129" s="24">
        <f t="shared" si="371"/>
        <v>45947</v>
      </c>
      <c r="F1129" s="24">
        <f t="shared" si="40"/>
        <v>45951</v>
      </c>
      <c r="G1129" s="107">
        <f t="shared" si="372"/>
        <v>1127</v>
      </c>
      <c r="H1129" s="106" t="s">
        <v>23</v>
      </c>
    </row>
    <row r="1130" ht="18.75" customHeight="1">
      <c r="A1130" s="277"/>
      <c r="B1130" s="99">
        <f t="shared" si="2"/>
        <v>1129</v>
      </c>
      <c r="C1130" s="78" t="s">
        <v>1137</v>
      </c>
      <c r="D1130" s="266">
        <v>1.0</v>
      </c>
      <c r="E1130" s="22">
        <f t="shared" si="371"/>
        <v>45951</v>
      </c>
      <c r="F1130" s="22">
        <f t="shared" si="40"/>
        <v>45952</v>
      </c>
      <c r="G1130" s="107">
        <f t="shared" si="372"/>
        <v>1128</v>
      </c>
      <c r="H1130" s="101" t="s">
        <v>49</v>
      </c>
    </row>
    <row r="1131" ht="18.75" customHeight="1">
      <c r="A1131" s="277"/>
      <c r="B1131" s="104">
        <f t="shared" si="2"/>
        <v>1130</v>
      </c>
      <c r="C1131" s="78" t="s">
        <v>1138</v>
      </c>
      <c r="D1131" s="106">
        <v>1.0</v>
      </c>
      <c r="E1131" s="24">
        <f t="shared" si="371"/>
        <v>45952</v>
      </c>
      <c r="F1131" s="24">
        <f t="shared" si="40"/>
        <v>45953</v>
      </c>
      <c r="G1131" s="107">
        <f t="shared" si="372"/>
        <v>1129</v>
      </c>
      <c r="H1131" s="106" t="s">
        <v>10</v>
      </c>
    </row>
    <row r="1132" ht="18.75" customHeight="1">
      <c r="A1132" s="277"/>
      <c r="B1132" s="99">
        <f t="shared" si="2"/>
        <v>1131</v>
      </c>
      <c r="C1132" s="78" t="s">
        <v>1139</v>
      </c>
      <c r="D1132" s="101">
        <v>1.0</v>
      </c>
      <c r="E1132" s="22">
        <f t="shared" si="371"/>
        <v>45953</v>
      </c>
      <c r="F1132" s="22">
        <f t="shared" si="40"/>
        <v>45954</v>
      </c>
      <c r="G1132" s="107">
        <f t="shared" si="372"/>
        <v>1130</v>
      </c>
      <c r="H1132" s="101" t="s">
        <v>23</v>
      </c>
    </row>
    <row r="1133" ht="18.75" customHeight="1">
      <c r="A1133" s="277"/>
      <c r="B1133" s="104">
        <f t="shared" si="2"/>
        <v>1132</v>
      </c>
      <c r="C1133" s="78" t="s">
        <v>1140</v>
      </c>
      <c r="D1133" s="106">
        <v>2.0</v>
      </c>
      <c r="E1133" s="24">
        <f t="shared" si="371"/>
        <v>45954</v>
      </c>
      <c r="F1133" s="24">
        <f t="shared" si="40"/>
        <v>45956</v>
      </c>
      <c r="G1133" s="107">
        <f t="shared" si="372"/>
        <v>1131</v>
      </c>
      <c r="H1133" s="106" t="s">
        <v>23</v>
      </c>
    </row>
    <row r="1134" ht="18.75" customHeight="1">
      <c r="A1134" s="277"/>
      <c r="B1134" s="99">
        <f t="shared" si="2"/>
        <v>1133</v>
      </c>
      <c r="C1134" s="78" t="s">
        <v>1141</v>
      </c>
      <c r="D1134" s="101">
        <v>1.0</v>
      </c>
      <c r="E1134" s="22">
        <f t="shared" si="371"/>
        <v>45956</v>
      </c>
      <c r="F1134" s="22">
        <f t="shared" si="40"/>
        <v>45957</v>
      </c>
      <c r="G1134" s="107">
        <f t="shared" si="372"/>
        <v>1132</v>
      </c>
      <c r="H1134" s="101" t="s">
        <v>49</v>
      </c>
    </row>
    <row r="1135" ht="18.75" customHeight="1">
      <c r="A1135" s="277"/>
      <c r="B1135" s="278">
        <f t="shared" si="2"/>
        <v>1134</v>
      </c>
      <c r="C1135" s="78" t="s">
        <v>1142</v>
      </c>
      <c r="D1135" s="101">
        <v>1.0</v>
      </c>
      <c r="E1135" s="22">
        <f t="shared" si="371"/>
        <v>45957</v>
      </c>
      <c r="F1135" s="22">
        <f t="shared" si="40"/>
        <v>45958</v>
      </c>
      <c r="G1135" s="107">
        <f t="shared" si="372"/>
        <v>1133</v>
      </c>
      <c r="H1135" s="279" t="s">
        <v>10</v>
      </c>
    </row>
    <row r="1136" ht="18.75" customHeight="1">
      <c r="A1136" s="277"/>
      <c r="B1136" s="278">
        <f t="shared" si="2"/>
        <v>1135</v>
      </c>
      <c r="C1136" s="78" t="s">
        <v>1143</v>
      </c>
      <c r="D1136" s="106">
        <v>1.0</v>
      </c>
      <c r="E1136" s="24">
        <f t="shared" si="371"/>
        <v>45958</v>
      </c>
      <c r="F1136" s="24">
        <f t="shared" si="40"/>
        <v>45959</v>
      </c>
      <c r="G1136" s="107">
        <f t="shared" si="372"/>
        <v>1134</v>
      </c>
      <c r="H1136" s="279" t="s">
        <v>23</v>
      </c>
    </row>
    <row r="1137" ht="18.75" customHeight="1">
      <c r="A1137" s="277"/>
      <c r="B1137" s="278">
        <f t="shared" si="2"/>
        <v>1136</v>
      </c>
      <c r="C1137" s="78" t="s">
        <v>1144</v>
      </c>
      <c r="D1137" s="101">
        <v>2.0</v>
      </c>
      <c r="E1137" s="22">
        <f t="shared" si="371"/>
        <v>45959</v>
      </c>
      <c r="F1137" s="22">
        <f t="shared" si="40"/>
        <v>45961</v>
      </c>
      <c r="G1137" s="107">
        <f t="shared" si="372"/>
        <v>1135</v>
      </c>
      <c r="H1137" s="279" t="s">
        <v>23</v>
      </c>
    </row>
    <row r="1138" ht="18.75" customHeight="1">
      <c r="A1138" s="280"/>
      <c r="B1138" s="278">
        <f t="shared" si="2"/>
        <v>1137</v>
      </c>
      <c r="C1138" s="78" t="s">
        <v>1145</v>
      </c>
      <c r="D1138" s="115">
        <v>1.0</v>
      </c>
      <c r="E1138" s="24">
        <f t="shared" si="371"/>
        <v>45961</v>
      </c>
      <c r="F1138" s="24">
        <f t="shared" si="40"/>
        <v>45962</v>
      </c>
      <c r="G1138" s="107">
        <f t="shared" si="372"/>
        <v>1136</v>
      </c>
      <c r="H1138" s="279" t="s">
        <v>49</v>
      </c>
    </row>
    <row r="1139" ht="45.0" customHeight="1">
      <c r="A1139" s="281" t="s">
        <v>459</v>
      </c>
      <c r="B1139" s="104">
        <f t="shared" si="2"/>
        <v>1138</v>
      </c>
      <c r="C1139" s="125" t="s">
        <v>1146</v>
      </c>
      <c r="D1139" s="108">
        <v>1.0</v>
      </c>
      <c r="E1139" s="282">
        <f t="shared" si="371"/>
        <v>45962</v>
      </c>
      <c r="F1139" s="282">
        <f t="shared" si="40"/>
        <v>45963</v>
      </c>
      <c r="G1139" s="283" t="str">
        <f>G1112&amp; "-" &amp;G1125&amp; "-" &amp;B1099&amp; "-" &amp;B1095&amp; "-" &amp;B1091&amp; "-" &amp;B1087&amp; "-" &amp;B1083&amp; "-" &amp;B1079&amp; "-" &amp;B1075&amp; "-" &amp;B1071&amp; "-" &amp;B1067&amp; "-" &amp;B1063&amp; "-" &amp;B1059&amp; "-" &amp;B1055&amp; "-" &amp;B1051&amp; "-" &amp;B1047&amp; "-" &amp;B1043&amp; "-" &amp;B1039&amp; "-" &amp;B1035&amp; "-" &amp;B1031&amp; "-" &amp;B1027&amp; "-" &amp;B1023&amp; "-" &amp;B1019&amp; "-" &amp;B1015&amp; "-" &amp;B1011&amp; "-" &amp;B1007&amp; "-" &amp;B1003&amp; "-" &amp;B999&amp; "-" &amp;B995&amp; "-" &amp;B991&amp; "-" &amp;B987&amp; "-" &amp;B983&amp; "-" &amp;B979&amp; "-" &amp;B975&amp; "-" &amp;B971&amp; "-" &amp;B967&amp; "-" &amp;B963&amp; "-" &amp;B959&amp; "-" &amp;B955</f>
        <v>1110-1123-1098-1094-1090-1086-1082-1078-1074-1070-1066-1062-1058-1054-1050-1046-1042-1038-1034-1030-1026-1022-1018-1014-1010-1006-1002-998-994-990-986-982-978-974-970-966-962-958-954</v>
      </c>
      <c r="H1139" s="108" t="s">
        <v>10</v>
      </c>
    </row>
    <row r="1140" ht="18.75" customHeight="1">
      <c r="A1140" s="284" t="s">
        <v>993</v>
      </c>
      <c r="B1140" s="99">
        <f t="shared" si="2"/>
        <v>1139</v>
      </c>
      <c r="C1140" s="125" t="s">
        <v>1147</v>
      </c>
      <c r="D1140" s="101">
        <v>2.0</v>
      </c>
      <c r="E1140" s="22">
        <f t="shared" si="371"/>
        <v>45963</v>
      </c>
      <c r="F1140" s="22">
        <f t="shared" si="40"/>
        <v>45965</v>
      </c>
      <c r="G1140" s="142">
        <f t="shared" ref="G1140:G1142" si="373">B1139</f>
        <v>1138</v>
      </c>
      <c r="H1140" s="101" t="s">
        <v>23</v>
      </c>
    </row>
    <row r="1141" ht="18.75" customHeight="1">
      <c r="A1141" s="285"/>
      <c r="B1141" s="108">
        <f t="shared" si="2"/>
        <v>1140</v>
      </c>
      <c r="C1141" s="125" t="s">
        <v>1148</v>
      </c>
      <c r="D1141" s="106">
        <v>4.0</v>
      </c>
      <c r="E1141" s="24">
        <f t="shared" si="371"/>
        <v>45965</v>
      </c>
      <c r="F1141" s="24">
        <f t="shared" si="40"/>
        <v>45969</v>
      </c>
      <c r="G1141" s="108">
        <f t="shared" si="373"/>
        <v>1139</v>
      </c>
      <c r="H1141" s="106" t="s">
        <v>23</v>
      </c>
    </row>
    <row r="1142" ht="18.75" customHeight="1">
      <c r="A1142" s="286"/>
      <c r="B1142" s="142">
        <f t="shared" si="2"/>
        <v>1141</v>
      </c>
      <c r="C1142" s="125" t="s">
        <v>1149</v>
      </c>
      <c r="D1142" s="110">
        <v>1.0</v>
      </c>
      <c r="E1142" s="22">
        <f t="shared" si="371"/>
        <v>45969</v>
      </c>
      <c r="F1142" s="22">
        <f t="shared" si="40"/>
        <v>45970</v>
      </c>
      <c r="G1142" s="142">
        <f t="shared" si="373"/>
        <v>1140</v>
      </c>
      <c r="H1142" s="101" t="s">
        <v>49</v>
      </c>
    </row>
    <row r="1143" ht="18.75" customHeight="1">
      <c r="A1143" s="32" t="s">
        <v>991</v>
      </c>
      <c r="B1143" s="99">
        <f t="shared" si="2"/>
        <v>1142</v>
      </c>
      <c r="C1143" s="100" t="s">
        <v>1150</v>
      </c>
      <c r="D1143" s="101">
        <v>1.0</v>
      </c>
      <c r="E1143" s="22">
        <f>F910</f>
        <v>45942</v>
      </c>
      <c r="F1143" s="22">
        <f t="shared" si="40"/>
        <v>45943</v>
      </c>
      <c r="G1143" s="142">
        <f>B918</f>
        <v>917</v>
      </c>
      <c r="H1143" s="101" t="s">
        <v>10</v>
      </c>
    </row>
    <row r="1144" ht="18.75" customHeight="1">
      <c r="A1144" s="210" t="s">
        <v>551</v>
      </c>
      <c r="B1144" s="104">
        <f t="shared" si="2"/>
        <v>1143</v>
      </c>
      <c r="C1144" s="100" t="s">
        <v>1151</v>
      </c>
      <c r="D1144" s="106">
        <v>2.0</v>
      </c>
      <c r="E1144" s="24">
        <f t="shared" ref="E1144:E1146" si="374">F1143</f>
        <v>45943</v>
      </c>
      <c r="F1144" s="24">
        <f t="shared" si="40"/>
        <v>45945</v>
      </c>
      <c r="G1144" s="108">
        <f t="shared" ref="G1144:G1146" si="375">B1143</f>
        <v>1142</v>
      </c>
      <c r="H1144" s="106" t="s">
        <v>23</v>
      </c>
    </row>
    <row r="1145" ht="18.75" customHeight="1">
      <c r="A1145" s="109"/>
      <c r="B1145" s="99">
        <f t="shared" si="2"/>
        <v>1144</v>
      </c>
      <c r="C1145" s="100" t="s">
        <v>1152</v>
      </c>
      <c r="D1145" s="101">
        <v>4.0</v>
      </c>
      <c r="E1145" s="22">
        <f t="shared" si="374"/>
        <v>45945</v>
      </c>
      <c r="F1145" s="22">
        <f t="shared" si="40"/>
        <v>45949</v>
      </c>
      <c r="G1145" s="142">
        <f t="shared" si="375"/>
        <v>1143</v>
      </c>
      <c r="H1145" s="101" t="s">
        <v>23</v>
      </c>
    </row>
    <row r="1146" ht="18.75" customHeight="1">
      <c r="A1146" s="109"/>
      <c r="B1146" s="104">
        <f t="shared" si="2"/>
        <v>1145</v>
      </c>
      <c r="C1146" s="100" t="s">
        <v>1153</v>
      </c>
      <c r="D1146" s="115">
        <v>1.0</v>
      </c>
      <c r="E1146" s="24">
        <f t="shared" si="374"/>
        <v>45949</v>
      </c>
      <c r="F1146" s="24">
        <f t="shared" si="40"/>
        <v>45950</v>
      </c>
      <c r="G1146" s="108">
        <f t="shared" si="375"/>
        <v>1144</v>
      </c>
      <c r="H1146" s="106" t="s">
        <v>49</v>
      </c>
    </row>
    <row r="1147" ht="18.75" customHeight="1">
      <c r="A1147" s="109"/>
      <c r="B1147" s="99">
        <f t="shared" si="2"/>
        <v>1146</v>
      </c>
      <c r="C1147" s="100" t="s">
        <v>1154</v>
      </c>
      <c r="D1147" s="101">
        <v>1.0</v>
      </c>
      <c r="E1147" s="22">
        <f>F910</f>
        <v>45942</v>
      </c>
      <c r="F1147" s="22">
        <f t="shared" si="40"/>
        <v>45943</v>
      </c>
      <c r="G1147" s="142">
        <f>B918</f>
        <v>917</v>
      </c>
      <c r="H1147" s="101" t="s">
        <v>10</v>
      </c>
    </row>
    <row r="1148" ht="18.75" customHeight="1">
      <c r="A1148" s="109"/>
      <c r="B1148" s="104">
        <f t="shared" si="2"/>
        <v>1147</v>
      </c>
      <c r="C1148" s="100" t="s">
        <v>1155</v>
      </c>
      <c r="D1148" s="106">
        <v>2.0</v>
      </c>
      <c r="E1148" s="24">
        <f t="shared" ref="E1148:E1150" si="376">F1147</f>
        <v>45943</v>
      </c>
      <c r="F1148" s="24">
        <f t="shared" si="40"/>
        <v>45945</v>
      </c>
      <c r="G1148" s="108">
        <f t="shared" ref="G1148:G1150" si="377">B1147</f>
        <v>1146</v>
      </c>
      <c r="H1148" s="106" t="s">
        <v>23</v>
      </c>
    </row>
    <row r="1149" ht="18.75" customHeight="1">
      <c r="A1149" s="109"/>
      <c r="B1149" s="99">
        <f t="shared" si="2"/>
        <v>1148</v>
      </c>
      <c r="C1149" s="100" t="s">
        <v>1156</v>
      </c>
      <c r="D1149" s="101">
        <v>4.0</v>
      </c>
      <c r="E1149" s="22">
        <f t="shared" si="376"/>
        <v>45945</v>
      </c>
      <c r="F1149" s="22">
        <f t="shared" si="40"/>
        <v>45949</v>
      </c>
      <c r="G1149" s="142">
        <f t="shared" si="377"/>
        <v>1147</v>
      </c>
      <c r="H1149" s="101" t="s">
        <v>23</v>
      </c>
    </row>
    <row r="1150" ht="18.75" customHeight="1">
      <c r="A1150" s="109"/>
      <c r="B1150" s="104">
        <f t="shared" si="2"/>
        <v>1149</v>
      </c>
      <c r="C1150" s="100" t="s">
        <v>1157</v>
      </c>
      <c r="D1150" s="115">
        <v>1.0</v>
      </c>
      <c r="E1150" s="24">
        <f t="shared" si="376"/>
        <v>45949</v>
      </c>
      <c r="F1150" s="24">
        <f t="shared" si="40"/>
        <v>45950</v>
      </c>
      <c r="G1150" s="108">
        <f t="shared" si="377"/>
        <v>1148</v>
      </c>
      <c r="H1150" s="106" t="s">
        <v>49</v>
      </c>
    </row>
    <row r="1151" ht="18.75" customHeight="1">
      <c r="A1151" s="15" t="s">
        <v>438</v>
      </c>
      <c r="B1151" s="99">
        <f t="shared" si="2"/>
        <v>1150</v>
      </c>
      <c r="C1151" s="287" t="s">
        <v>323</v>
      </c>
      <c r="D1151" s="101">
        <v>1.0</v>
      </c>
      <c r="E1151" s="22">
        <f>F910</f>
        <v>45942</v>
      </c>
      <c r="F1151" s="22">
        <f t="shared" si="40"/>
        <v>45943</v>
      </c>
      <c r="G1151" s="142">
        <f>B918</f>
        <v>917</v>
      </c>
      <c r="H1151" s="101" t="s">
        <v>10</v>
      </c>
    </row>
    <row r="1152" ht="18.75" customHeight="1">
      <c r="A1152" s="288" t="s">
        <v>1158</v>
      </c>
      <c r="B1152" s="104">
        <f t="shared" si="2"/>
        <v>1151</v>
      </c>
      <c r="C1152" s="287" t="s">
        <v>324</v>
      </c>
      <c r="D1152" s="106">
        <v>2.0</v>
      </c>
      <c r="E1152" s="24">
        <f t="shared" ref="E1152:E1154" si="378">F1151</f>
        <v>45943</v>
      </c>
      <c r="F1152" s="24">
        <f t="shared" si="40"/>
        <v>45945</v>
      </c>
      <c r="G1152" s="108">
        <f t="shared" ref="G1152:G1154" si="379">B1151</f>
        <v>1150</v>
      </c>
      <c r="H1152" s="106" t="s">
        <v>23</v>
      </c>
    </row>
    <row r="1153" ht="18.75" customHeight="1">
      <c r="A1153" s="215"/>
      <c r="B1153" s="99">
        <f t="shared" si="2"/>
        <v>1152</v>
      </c>
      <c r="C1153" s="287" t="s">
        <v>325</v>
      </c>
      <c r="D1153" s="101">
        <v>4.0</v>
      </c>
      <c r="E1153" s="22">
        <f t="shared" si="378"/>
        <v>45945</v>
      </c>
      <c r="F1153" s="22">
        <f t="shared" si="40"/>
        <v>45949</v>
      </c>
      <c r="G1153" s="142">
        <f t="shared" si="379"/>
        <v>1151</v>
      </c>
      <c r="H1153" s="101" t="s">
        <v>23</v>
      </c>
    </row>
    <row r="1154" ht="18.75" customHeight="1">
      <c r="A1154" s="215"/>
      <c r="B1154" s="104">
        <f t="shared" si="2"/>
        <v>1153</v>
      </c>
      <c r="C1154" s="287" t="s">
        <v>326</v>
      </c>
      <c r="D1154" s="115">
        <v>1.0</v>
      </c>
      <c r="E1154" s="24">
        <f t="shared" si="378"/>
        <v>45949</v>
      </c>
      <c r="F1154" s="24">
        <f t="shared" si="40"/>
        <v>45950</v>
      </c>
      <c r="G1154" s="108">
        <f t="shared" si="379"/>
        <v>1152</v>
      </c>
      <c r="H1154" s="106" t="s">
        <v>49</v>
      </c>
    </row>
    <row r="1155" ht="18.75" customHeight="1">
      <c r="A1155" s="215"/>
      <c r="B1155" s="99">
        <f t="shared" si="2"/>
        <v>1154</v>
      </c>
      <c r="C1155" s="289" t="s">
        <v>327</v>
      </c>
      <c r="D1155" s="101">
        <v>1.0</v>
      </c>
      <c r="E1155" s="22">
        <f>F910</f>
        <v>45942</v>
      </c>
      <c r="F1155" s="22">
        <f t="shared" si="40"/>
        <v>45943</v>
      </c>
      <c r="G1155" s="142">
        <f>B918</f>
        <v>917</v>
      </c>
      <c r="H1155" s="101" t="s">
        <v>10</v>
      </c>
    </row>
    <row r="1156" ht="18.75" customHeight="1">
      <c r="A1156" s="215"/>
      <c r="B1156" s="104">
        <f t="shared" si="2"/>
        <v>1155</v>
      </c>
      <c r="C1156" s="289" t="s">
        <v>328</v>
      </c>
      <c r="D1156" s="106">
        <v>2.0</v>
      </c>
      <c r="E1156" s="24">
        <f t="shared" ref="E1156:E1158" si="380">F1155</f>
        <v>45943</v>
      </c>
      <c r="F1156" s="24">
        <f t="shared" si="40"/>
        <v>45945</v>
      </c>
      <c r="G1156" s="108">
        <f t="shared" ref="G1156:G1158" si="381">B1155</f>
        <v>1154</v>
      </c>
      <c r="H1156" s="106" t="s">
        <v>23</v>
      </c>
    </row>
    <row r="1157" ht="18.75" customHeight="1">
      <c r="A1157" s="215"/>
      <c r="B1157" s="99">
        <f t="shared" si="2"/>
        <v>1156</v>
      </c>
      <c r="C1157" s="289" t="s">
        <v>329</v>
      </c>
      <c r="D1157" s="101">
        <v>4.0</v>
      </c>
      <c r="E1157" s="22">
        <f t="shared" si="380"/>
        <v>45945</v>
      </c>
      <c r="F1157" s="22">
        <f t="shared" si="40"/>
        <v>45949</v>
      </c>
      <c r="G1157" s="142">
        <f t="shared" si="381"/>
        <v>1155</v>
      </c>
      <c r="H1157" s="101" t="s">
        <v>23</v>
      </c>
    </row>
    <row r="1158" ht="18.75" customHeight="1">
      <c r="A1158" s="215"/>
      <c r="B1158" s="104">
        <f t="shared" si="2"/>
        <v>1157</v>
      </c>
      <c r="C1158" s="289" t="s">
        <v>330</v>
      </c>
      <c r="D1158" s="115">
        <v>1.0</v>
      </c>
      <c r="E1158" s="24">
        <f t="shared" si="380"/>
        <v>45949</v>
      </c>
      <c r="F1158" s="24">
        <f t="shared" si="40"/>
        <v>45950</v>
      </c>
      <c r="G1158" s="108">
        <f t="shared" si="381"/>
        <v>1156</v>
      </c>
      <c r="H1158" s="106" t="s">
        <v>49</v>
      </c>
    </row>
    <row r="1159" ht="18.75" customHeight="1">
      <c r="A1159" s="274" t="s">
        <v>332</v>
      </c>
      <c r="B1159" s="104">
        <f t="shared" si="2"/>
        <v>1158</v>
      </c>
      <c r="C1159" s="287" t="s">
        <v>333</v>
      </c>
      <c r="D1159" s="101">
        <v>1.0</v>
      </c>
      <c r="E1159" s="24">
        <f>F910</f>
        <v>45942</v>
      </c>
      <c r="F1159" s="24">
        <f t="shared" si="40"/>
        <v>45943</v>
      </c>
      <c r="G1159" s="107">
        <f>B918</f>
        <v>917</v>
      </c>
      <c r="H1159" s="106" t="s">
        <v>10</v>
      </c>
    </row>
    <row r="1160" ht="18.75" customHeight="1">
      <c r="A1160" s="276" t="s">
        <v>334</v>
      </c>
      <c r="B1160" s="99">
        <f t="shared" si="2"/>
        <v>1159</v>
      </c>
      <c r="C1160" s="287" t="s">
        <v>335</v>
      </c>
      <c r="D1160" s="106">
        <v>2.0</v>
      </c>
      <c r="E1160" s="24">
        <f t="shared" ref="E1160:E1162" si="382">F1159</f>
        <v>45943</v>
      </c>
      <c r="F1160" s="24">
        <f t="shared" si="40"/>
        <v>45945</v>
      </c>
      <c r="G1160" s="108">
        <f t="shared" ref="G1160:G1162" si="383">B1159</f>
        <v>1158</v>
      </c>
      <c r="H1160" s="101" t="s">
        <v>23</v>
      </c>
    </row>
    <row r="1161" ht="18.75" customHeight="1">
      <c r="A1161" s="269"/>
      <c r="B1161" s="104">
        <f t="shared" si="2"/>
        <v>1160</v>
      </c>
      <c r="C1161" s="287" t="s">
        <v>336</v>
      </c>
      <c r="D1161" s="101">
        <v>4.0</v>
      </c>
      <c r="E1161" s="22">
        <f t="shared" si="382"/>
        <v>45945</v>
      </c>
      <c r="F1161" s="22">
        <f t="shared" si="40"/>
        <v>45949</v>
      </c>
      <c r="G1161" s="142">
        <f t="shared" si="383"/>
        <v>1159</v>
      </c>
      <c r="H1161" s="106" t="s">
        <v>23</v>
      </c>
    </row>
    <row r="1162" ht="18.75" customHeight="1">
      <c r="A1162" s="269"/>
      <c r="B1162" s="99">
        <f t="shared" si="2"/>
        <v>1161</v>
      </c>
      <c r="C1162" s="287" t="s">
        <v>337</v>
      </c>
      <c r="D1162" s="115">
        <v>1.0</v>
      </c>
      <c r="E1162" s="24">
        <f t="shared" si="382"/>
        <v>45949</v>
      </c>
      <c r="F1162" s="24">
        <f t="shared" si="40"/>
        <v>45950</v>
      </c>
      <c r="G1162" s="108">
        <f t="shared" si="383"/>
        <v>1160</v>
      </c>
      <c r="H1162" s="101" t="s">
        <v>49</v>
      </c>
    </row>
    <row r="1163" ht="18.75" customHeight="1">
      <c r="A1163" s="269"/>
      <c r="B1163" s="104">
        <f t="shared" si="2"/>
        <v>1162</v>
      </c>
      <c r="C1163" s="289" t="s">
        <v>338</v>
      </c>
      <c r="D1163" s="101">
        <v>1.0</v>
      </c>
      <c r="E1163" s="22">
        <f>F910</f>
        <v>45942</v>
      </c>
      <c r="F1163" s="22">
        <f t="shared" si="40"/>
        <v>45943</v>
      </c>
      <c r="G1163" s="142">
        <f>B918</f>
        <v>917</v>
      </c>
      <c r="H1163" s="106" t="s">
        <v>10</v>
      </c>
    </row>
    <row r="1164" ht="18.75" customHeight="1">
      <c r="A1164" s="269"/>
      <c r="B1164" s="99">
        <f t="shared" si="2"/>
        <v>1163</v>
      </c>
      <c r="C1164" s="289" t="s">
        <v>339</v>
      </c>
      <c r="D1164" s="106">
        <v>2.0</v>
      </c>
      <c r="E1164" s="24">
        <f t="shared" ref="E1164:E1166" si="384">F1163</f>
        <v>45943</v>
      </c>
      <c r="F1164" s="24">
        <f t="shared" si="40"/>
        <v>45945</v>
      </c>
      <c r="G1164" s="108">
        <f t="shared" ref="G1164:G1166" si="385">B1163</f>
        <v>1162</v>
      </c>
      <c r="H1164" s="101" t="s">
        <v>23</v>
      </c>
    </row>
    <row r="1165" ht="18.75" customHeight="1">
      <c r="A1165" s="269"/>
      <c r="B1165" s="104">
        <f t="shared" si="2"/>
        <v>1164</v>
      </c>
      <c r="C1165" s="289" t="s">
        <v>340</v>
      </c>
      <c r="D1165" s="101">
        <v>4.0</v>
      </c>
      <c r="E1165" s="22">
        <f t="shared" si="384"/>
        <v>45945</v>
      </c>
      <c r="F1165" s="22">
        <f t="shared" si="40"/>
        <v>45949</v>
      </c>
      <c r="G1165" s="142">
        <f t="shared" si="385"/>
        <v>1163</v>
      </c>
      <c r="H1165" s="106" t="s">
        <v>23</v>
      </c>
    </row>
    <row r="1166" ht="18.75" customHeight="1">
      <c r="A1166" s="269"/>
      <c r="B1166" s="99">
        <f t="shared" si="2"/>
        <v>1165</v>
      </c>
      <c r="C1166" s="289" t="s">
        <v>341</v>
      </c>
      <c r="D1166" s="115">
        <v>1.0</v>
      </c>
      <c r="E1166" s="24">
        <f t="shared" si="384"/>
        <v>45949</v>
      </c>
      <c r="F1166" s="24">
        <f t="shared" si="40"/>
        <v>45950</v>
      </c>
      <c r="G1166" s="108">
        <f t="shared" si="385"/>
        <v>1164</v>
      </c>
      <c r="H1166" s="101" t="s">
        <v>49</v>
      </c>
    </row>
    <row r="1167" ht="18.75" customHeight="1">
      <c r="A1167" s="272" t="s">
        <v>343</v>
      </c>
      <c r="B1167" s="99">
        <f t="shared" si="2"/>
        <v>1166</v>
      </c>
      <c r="C1167" s="287" t="s">
        <v>344</v>
      </c>
      <c r="D1167" s="101">
        <v>1.0</v>
      </c>
      <c r="E1167" s="22">
        <f>F910</f>
        <v>45942</v>
      </c>
      <c r="F1167" s="22">
        <f t="shared" si="40"/>
        <v>45943</v>
      </c>
      <c r="G1167" s="31">
        <f>B918</f>
        <v>917</v>
      </c>
      <c r="H1167" s="101" t="s">
        <v>10</v>
      </c>
    </row>
    <row r="1168" ht="18.75" customHeight="1">
      <c r="A1168" s="215"/>
      <c r="B1168" s="104">
        <f t="shared" si="2"/>
        <v>1167</v>
      </c>
      <c r="C1168" s="287" t="s">
        <v>345</v>
      </c>
      <c r="D1168" s="106">
        <v>2.0</v>
      </c>
      <c r="E1168" s="24">
        <f t="shared" ref="E1168:E1170" si="386">F1167</f>
        <v>45943</v>
      </c>
      <c r="F1168" s="24">
        <f t="shared" si="40"/>
        <v>45945</v>
      </c>
      <c r="G1168" s="108">
        <f t="shared" ref="G1168:G1170" si="387">B1167</f>
        <v>1166</v>
      </c>
      <c r="H1168" s="106" t="s">
        <v>23</v>
      </c>
    </row>
    <row r="1169" ht="18.75" customHeight="1">
      <c r="A1169" s="215"/>
      <c r="B1169" s="99">
        <f t="shared" si="2"/>
        <v>1168</v>
      </c>
      <c r="C1169" s="287" t="s">
        <v>346</v>
      </c>
      <c r="D1169" s="101">
        <v>4.0</v>
      </c>
      <c r="E1169" s="22">
        <f t="shared" si="386"/>
        <v>45945</v>
      </c>
      <c r="F1169" s="22">
        <f t="shared" si="40"/>
        <v>45949</v>
      </c>
      <c r="G1169" s="142">
        <f t="shared" si="387"/>
        <v>1167</v>
      </c>
      <c r="H1169" s="101" t="s">
        <v>23</v>
      </c>
    </row>
    <row r="1170" ht="18.75" customHeight="1">
      <c r="A1170" s="215"/>
      <c r="B1170" s="104">
        <f t="shared" si="2"/>
        <v>1169</v>
      </c>
      <c r="C1170" s="287" t="s">
        <v>347</v>
      </c>
      <c r="D1170" s="115">
        <v>1.0</v>
      </c>
      <c r="E1170" s="24">
        <f t="shared" si="386"/>
        <v>45949</v>
      </c>
      <c r="F1170" s="24">
        <f t="shared" si="40"/>
        <v>45950</v>
      </c>
      <c r="G1170" s="108">
        <f t="shared" si="387"/>
        <v>1168</v>
      </c>
      <c r="H1170" s="106" t="s">
        <v>49</v>
      </c>
    </row>
    <row r="1171" ht="18.75" customHeight="1">
      <c r="A1171" s="215"/>
      <c r="B1171" s="99">
        <f t="shared" si="2"/>
        <v>1170</v>
      </c>
      <c r="C1171" s="289" t="s">
        <v>348</v>
      </c>
      <c r="D1171" s="101">
        <v>1.0</v>
      </c>
      <c r="E1171" s="22">
        <f>F910</f>
        <v>45942</v>
      </c>
      <c r="F1171" s="22">
        <f t="shared" si="40"/>
        <v>45943</v>
      </c>
      <c r="G1171" s="142">
        <f>B918</f>
        <v>917</v>
      </c>
      <c r="H1171" s="101" t="s">
        <v>10</v>
      </c>
    </row>
    <row r="1172" ht="18.75" customHeight="1">
      <c r="A1172" s="215"/>
      <c r="B1172" s="104">
        <f t="shared" si="2"/>
        <v>1171</v>
      </c>
      <c r="C1172" s="289" t="s">
        <v>349</v>
      </c>
      <c r="D1172" s="106">
        <v>2.0</v>
      </c>
      <c r="E1172" s="24">
        <f t="shared" ref="E1172:E1174" si="388">F1171</f>
        <v>45943</v>
      </c>
      <c r="F1172" s="24">
        <f t="shared" si="40"/>
        <v>45945</v>
      </c>
      <c r="G1172" s="108">
        <f t="shared" ref="G1172:G1174" si="389">B1171</f>
        <v>1170</v>
      </c>
      <c r="H1172" s="106" t="s">
        <v>23</v>
      </c>
    </row>
    <row r="1173" ht="18.75" customHeight="1">
      <c r="A1173" s="215"/>
      <c r="B1173" s="99">
        <f t="shared" si="2"/>
        <v>1172</v>
      </c>
      <c r="C1173" s="289" t="s">
        <v>350</v>
      </c>
      <c r="D1173" s="101">
        <v>4.0</v>
      </c>
      <c r="E1173" s="22">
        <f t="shared" si="388"/>
        <v>45945</v>
      </c>
      <c r="F1173" s="22">
        <f t="shared" si="40"/>
        <v>45949</v>
      </c>
      <c r="G1173" s="142">
        <f t="shared" si="389"/>
        <v>1171</v>
      </c>
      <c r="H1173" s="101" t="s">
        <v>23</v>
      </c>
    </row>
    <row r="1174" ht="18.75" customHeight="1">
      <c r="A1174" s="215"/>
      <c r="B1174" s="104">
        <f t="shared" si="2"/>
        <v>1173</v>
      </c>
      <c r="C1174" s="289" t="s">
        <v>351</v>
      </c>
      <c r="D1174" s="115">
        <v>1.0</v>
      </c>
      <c r="E1174" s="24">
        <f t="shared" si="388"/>
        <v>45949</v>
      </c>
      <c r="F1174" s="24">
        <f t="shared" si="40"/>
        <v>45950</v>
      </c>
      <c r="G1174" s="108">
        <f t="shared" si="389"/>
        <v>1172</v>
      </c>
      <c r="H1174" s="106" t="s">
        <v>49</v>
      </c>
    </row>
    <row r="1175" ht="18.75" customHeight="1">
      <c r="A1175" s="276" t="s">
        <v>353</v>
      </c>
      <c r="B1175" s="104">
        <f t="shared" si="2"/>
        <v>1174</v>
      </c>
      <c r="C1175" s="287" t="s">
        <v>354</v>
      </c>
      <c r="D1175" s="101">
        <v>1.0</v>
      </c>
      <c r="E1175" s="24">
        <f>F910</f>
        <v>45942</v>
      </c>
      <c r="F1175" s="24">
        <f t="shared" si="40"/>
        <v>45943</v>
      </c>
      <c r="G1175" s="107">
        <f>B918</f>
        <v>917</v>
      </c>
      <c r="H1175" s="106" t="s">
        <v>10</v>
      </c>
    </row>
    <row r="1176" ht="18.75" customHeight="1">
      <c r="A1176" s="269"/>
      <c r="B1176" s="99">
        <f t="shared" si="2"/>
        <v>1175</v>
      </c>
      <c r="C1176" s="287" t="s">
        <v>355</v>
      </c>
      <c r="D1176" s="106">
        <v>2.0</v>
      </c>
      <c r="E1176" s="24">
        <f t="shared" ref="E1176:E1178" si="390">F1175</f>
        <v>45943</v>
      </c>
      <c r="F1176" s="24">
        <f t="shared" si="40"/>
        <v>45945</v>
      </c>
      <c r="G1176" s="108">
        <f t="shared" ref="G1176:G1178" si="391">B1175</f>
        <v>1174</v>
      </c>
      <c r="H1176" s="101" t="s">
        <v>23</v>
      </c>
    </row>
    <row r="1177" ht="18.75" customHeight="1">
      <c r="A1177" s="269"/>
      <c r="B1177" s="104">
        <f t="shared" si="2"/>
        <v>1176</v>
      </c>
      <c r="C1177" s="287" t="s">
        <v>356</v>
      </c>
      <c r="D1177" s="101">
        <v>4.0</v>
      </c>
      <c r="E1177" s="22">
        <f t="shared" si="390"/>
        <v>45945</v>
      </c>
      <c r="F1177" s="22">
        <f t="shared" si="40"/>
        <v>45949</v>
      </c>
      <c r="G1177" s="142">
        <f t="shared" si="391"/>
        <v>1175</v>
      </c>
      <c r="H1177" s="106" t="s">
        <v>23</v>
      </c>
    </row>
    <row r="1178" ht="18.75" customHeight="1">
      <c r="A1178" s="269"/>
      <c r="B1178" s="99">
        <f t="shared" si="2"/>
        <v>1177</v>
      </c>
      <c r="C1178" s="287" t="s">
        <v>357</v>
      </c>
      <c r="D1178" s="115">
        <v>1.0</v>
      </c>
      <c r="E1178" s="24">
        <f t="shared" si="390"/>
        <v>45949</v>
      </c>
      <c r="F1178" s="24">
        <f t="shared" si="40"/>
        <v>45950</v>
      </c>
      <c r="G1178" s="108">
        <f t="shared" si="391"/>
        <v>1176</v>
      </c>
      <c r="H1178" s="101" t="s">
        <v>49</v>
      </c>
    </row>
    <row r="1179" ht="18.75" customHeight="1">
      <c r="A1179" s="269"/>
      <c r="B1179" s="104">
        <f t="shared" si="2"/>
        <v>1178</v>
      </c>
      <c r="C1179" s="289" t="s">
        <v>358</v>
      </c>
      <c r="D1179" s="101">
        <v>1.0</v>
      </c>
      <c r="E1179" s="22">
        <f>F910</f>
        <v>45942</v>
      </c>
      <c r="F1179" s="22">
        <f t="shared" si="40"/>
        <v>45943</v>
      </c>
      <c r="G1179" s="142">
        <f>B918</f>
        <v>917</v>
      </c>
      <c r="H1179" s="106" t="s">
        <v>10</v>
      </c>
    </row>
    <row r="1180" ht="18.75" customHeight="1">
      <c r="A1180" s="269"/>
      <c r="B1180" s="99">
        <f t="shared" si="2"/>
        <v>1179</v>
      </c>
      <c r="C1180" s="289" t="s">
        <v>359</v>
      </c>
      <c r="D1180" s="106">
        <v>2.0</v>
      </c>
      <c r="E1180" s="24">
        <f t="shared" ref="E1180:E1182" si="392">F1179</f>
        <v>45943</v>
      </c>
      <c r="F1180" s="24">
        <f t="shared" si="40"/>
        <v>45945</v>
      </c>
      <c r="G1180" s="108">
        <f t="shared" ref="G1180:G1182" si="393">B1179</f>
        <v>1178</v>
      </c>
      <c r="H1180" s="101" t="s">
        <v>23</v>
      </c>
    </row>
    <row r="1181" ht="18.75" customHeight="1">
      <c r="A1181" s="269"/>
      <c r="B1181" s="104">
        <f t="shared" si="2"/>
        <v>1180</v>
      </c>
      <c r="C1181" s="289" t="s">
        <v>360</v>
      </c>
      <c r="D1181" s="101">
        <v>4.0</v>
      </c>
      <c r="E1181" s="22">
        <f t="shared" si="392"/>
        <v>45945</v>
      </c>
      <c r="F1181" s="22">
        <f t="shared" si="40"/>
        <v>45949</v>
      </c>
      <c r="G1181" s="142">
        <f t="shared" si="393"/>
        <v>1179</v>
      </c>
      <c r="H1181" s="106" t="s">
        <v>23</v>
      </c>
    </row>
    <row r="1182" ht="18.75" customHeight="1">
      <c r="A1182" s="269"/>
      <c r="B1182" s="99">
        <f t="shared" si="2"/>
        <v>1181</v>
      </c>
      <c r="C1182" s="289" t="s">
        <v>361</v>
      </c>
      <c r="D1182" s="115">
        <v>1.0</v>
      </c>
      <c r="E1182" s="24">
        <f t="shared" si="392"/>
        <v>45949</v>
      </c>
      <c r="F1182" s="24">
        <f t="shared" si="40"/>
        <v>45950</v>
      </c>
      <c r="G1182" s="108">
        <f t="shared" si="393"/>
        <v>1180</v>
      </c>
      <c r="H1182" s="101" t="s">
        <v>49</v>
      </c>
    </row>
    <row r="1183" ht="18.75" customHeight="1">
      <c r="A1183" s="272" t="s">
        <v>363</v>
      </c>
      <c r="B1183" s="99">
        <f t="shared" si="2"/>
        <v>1182</v>
      </c>
      <c r="C1183" s="287" t="s">
        <v>364</v>
      </c>
      <c r="D1183" s="101">
        <v>1.0</v>
      </c>
      <c r="E1183" s="22">
        <f>F910</f>
        <v>45942</v>
      </c>
      <c r="F1183" s="22">
        <f t="shared" si="40"/>
        <v>45943</v>
      </c>
      <c r="G1183" s="31">
        <f>B918</f>
        <v>917</v>
      </c>
      <c r="H1183" s="101" t="s">
        <v>10</v>
      </c>
    </row>
    <row r="1184" ht="18.75" customHeight="1">
      <c r="A1184" s="215"/>
      <c r="B1184" s="104">
        <f t="shared" si="2"/>
        <v>1183</v>
      </c>
      <c r="C1184" s="287" t="s">
        <v>365</v>
      </c>
      <c r="D1184" s="106">
        <v>2.0</v>
      </c>
      <c r="E1184" s="24">
        <f t="shared" ref="E1184:E1186" si="394">F1183</f>
        <v>45943</v>
      </c>
      <c r="F1184" s="24">
        <f t="shared" si="40"/>
        <v>45945</v>
      </c>
      <c r="G1184" s="108">
        <f t="shared" ref="G1184:G1186" si="395">B1183</f>
        <v>1182</v>
      </c>
      <c r="H1184" s="106" t="s">
        <v>23</v>
      </c>
    </row>
    <row r="1185" ht="18.75" customHeight="1">
      <c r="A1185" s="215"/>
      <c r="B1185" s="99">
        <f t="shared" si="2"/>
        <v>1184</v>
      </c>
      <c r="C1185" s="287" t="s">
        <v>366</v>
      </c>
      <c r="D1185" s="101">
        <v>4.0</v>
      </c>
      <c r="E1185" s="22">
        <f t="shared" si="394"/>
        <v>45945</v>
      </c>
      <c r="F1185" s="22">
        <f t="shared" si="40"/>
        <v>45949</v>
      </c>
      <c r="G1185" s="142">
        <f t="shared" si="395"/>
        <v>1183</v>
      </c>
      <c r="H1185" s="101" t="s">
        <v>23</v>
      </c>
    </row>
    <row r="1186" ht="18.75" customHeight="1">
      <c r="A1186" s="215"/>
      <c r="B1186" s="104">
        <f t="shared" si="2"/>
        <v>1185</v>
      </c>
      <c r="C1186" s="287" t="s">
        <v>367</v>
      </c>
      <c r="D1186" s="115">
        <v>1.0</v>
      </c>
      <c r="E1186" s="24">
        <f t="shared" si="394"/>
        <v>45949</v>
      </c>
      <c r="F1186" s="24">
        <f t="shared" si="40"/>
        <v>45950</v>
      </c>
      <c r="G1186" s="108">
        <f t="shared" si="395"/>
        <v>1184</v>
      </c>
      <c r="H1186" s="106" t="s">
        <v>49</v>
      </c>
    </row>
    <row r="1187" ht="18.75" customHeight="1">
      <c r="A1187" s="215"/>
      <c r="B1187" s="99">
        <f t="shared" si="2"/>
        <v>1186</v>
      </c>
      <c r="C1187" s="289" t="s">
        <v>368</v>
      </c>
      <c r="D1187" s="101">
        <v>1.0</v>
      </c>
      <c r="E1187" s="22">
        <f>F910</f>
        <v>45942</v>
      </c>
      <c r="F1187" s="22">
        <f t="shared" si="40"/>
        <v>45943</v>
      </c>
      <c r="G1187" s="142">
        <f>B918</f>
        <v>917</v>
      </c>
      <c r="H1187" s="101" t="s">
        <v>10</v>
      </c>
    </row>
    <row r="1188" ht="18.75" customHeight="1">
      <c r="A1188" s="215"/>
      <c r="B1188" s="104">
        <f t="shared" si="2"/>
        <v>1187</v>
      </c>
      <c r="C1188" s="289" t="s">
        <v>369</v>
      </c>
      <c r="D1188" s="106">
        <v>2.0</v>
      </c>
      <c r="E1188" s="24">
        <f t="shared" ref="E1188:E1190" si="396">F1187</f>
        <v>45943</v>
      </c>
      <c r="F1188" s="24">
        <f t="shared" si="40"/>
        <v>45945</v>
      </c>
      <c r="G1188" s="108">
        <f t="shared" ref="G1188:G1190" si="397">B1187</f>
        <v>1186</v>
      </c>
      <c r="H1188" s="106" t="s">
        <v>23</v>
      </c>
    </row>
    <row r="1189" ht="18.75" customHeight="1">
      <c r="A1189" s="215"/>
      <c r="B1189" s="99">
        <f t="shared" si="2"/>
        <v>1188</v>
      </c>
      <c r="C1189" s="289" t="s">
        <v>370</v>
      </c>
      <c r="D1189" s="101">
        <v>4.0</v>
      </c>
      <c r="E1189" s="22">
        <f t="shared" si="396"/>
        <v>45945</v>
      </c>
      <c r="F1189" s="22">
        <f t="shared" si="40"/>
        <v>45949</v>
      </c>
      <c r="G1189" s="142">
        <f t="shared" si="397"/>
        <v>1187</v>
      </c>
      <c r="H1189" s="101" t="s">
        <v>23</v>
      </c>
    </row>
    <row r="1190" ht="18.75" customHeight="1">
      <c r="A1190" s="215"/>
      <c r="B1190" s="104">
        <f t="shared" si="2"/>
        <v>1189</v>
      </c>
      <c r="C1190" s="289" t="s">
        <v>371</v>
      </c>
      <c r="D1190" s="115">
        <v>1.0</v>
      </c>
      <c r="E1190" s="24">
        <f t="shared" si="396"/>
        <v>45949</v>
      </c>
      <c r="F1190" s="24">
        <f t="shared" si="40"/>
        <v>45950</v>
      </c>
      <c r="G1190" s="108">
        <f t="shared" si="397"/>
        <v>1188</v>
      </c>
      <c r="H1190" s="106" t="s">
        <v>49</v>
      </c>
    </row>
    <row r="1191" ht="18.75" customHeight="1">
      <c r="A1191" s="274" t="s">
        <v>373</v>
      </c>
      <c r="B1191" s="104">
        <f t="shared" si="2"/>
        <v>1190</v>
      </c>
      <c r="C1191" s="287" t="s">
        <v>374</v>
      </c>
      <c r="D1191" s="101">
        <v>1.0</v>
      </c>
      <c r="E1191" s="24">
        <f>F910</f>
        <v>45942</v>
      </c>
      <c r="F1191" s="24">
        <f t="shared" si="40"/>
        <v>45943</v>
      </c>
      <c r="G1191" s="107">
        <f>B918</f>
        <v>917</v>
      </c>
      <c r="H1191" s="106" t="s">
        <v>10</v>
      </c>
    </row>
    <row r="1192" ht="18.75" customHeight="1">
      <c r="A1192" s="276" t="s">
        <v>375</v>
      </c>
      <c r="B1192" s="99">
        <f t="shared" si="2"/>
        <v>1191</v>
      </c>
      <c r="C1192" s="287" t="s">
        <v>376</v>
      </c>
      <c r="D1192" s="106">
        <v>2.0</v>
      </c>
      <c r="E1192" s="24">
        <f t="shared" ref="E1192:E1194" si="398">F1191</f>
        <v>45943</v>
      </c>
      <c r="F1192" s="24">
        <f t="shared" si="40"/>
        <v>45945</v>
      </c>
      <c r="G1192" s="108">
        <f t="shared" ref="G1192:G1194" si="399">B1191</f>
        <v>1190</v>
      </c>
      <c r="H1192" s="101" t="s">
        <v>23</v>
      </c>
    </row>
    <row r="1193" ht="18.75" customHeight="1">
      <c r="A1193" s="290"/>
      <c r="B1193" s="104">
        <f t="shared" si="2"/>
        <v>1192</v>
      </c>
      <c r="C1193" s="287" t="s">
        <v>377</v>
      </c>
      <c r="D1193" s="101">
        <v>4.0</v>
      </c>
      <c r="E1193" s="22">
        <f t="shared" si="398"/>
        <v>45945</v>
      </c>
      <c r="F1193" s="22">
        <f t="shared" si="40"/>
        <v>45949</v>
      </c>
      <c r="G1193" s="142">
        <f t="shared" si="399"/>
        <v>1191</v>
      </c>
      <c r="H1193" s="106" t="s">
        <v>23</v>
      </c>
    </row>
    <row r="1194" ht="18.75" customHeight="1">
      <c r="A1194" s="290"/>
      <c r="B1194" s="99">
        <f t="shared" si="2"/>
        <v>1193</v>
      </c>
      <c r="C1194" s="287" t="s">
        <v>378</v>
      </c>
      <c r="D1194" s="115">
        <v>1.0</v>
      </c>
      <c r="E1194" s="24">
        <f t="shared" si="398"/>
        <v>45949</v>
      </c>
      <c r="F1194" s="24">
        <f t="shared" si="40"/>
        <v>45950</v>
      </c>
      <c r="G1194" s="108">
        <f t="shared" si="399"/>
        <v>1192</v>
      </c>
      <c r="H1194" s="101" t="s">
        <v>49</v>
      </c>
    </row>
    <row r="1195" ht="18.75" customHeight="1">
      <c r="A1195" s="290"/>
      <c r="B1195" s="104">
        <f t="shared" si="2"/>
        <v>1194</v>
      </c>
      <c r="C1195" s="289" t="s">
        <v>387</v>
      </c>
      <c r="D1195" s="101">
        <v>1.0</v>
      </c>
      <c r="E1195" s="22">
        <f>F910</f>
        <v>45942</v>
      </c>
      <c r="F1195" s="22">
        <f t="shared" si="40"/>
        <v>45943</v>
      </c>
      <c r="G1195" s="142">
        <f>B918</f>
        <v>917</v>
      </c>
      <c r="H1195" s="106" t="s">
        <v>10</v>
      </c>
    </row>
    <row r="1196" ht="18.75" customHeight="1">
      <c r="A1196" s="290"/>
      <c r="B1196" s="99">
        <f t="shared" si="2"/>
        <v>1195</v>
      </c>
      <c r="C1196" s="289" t="s">
        <v>388</v>
      </c>
      <c r="D1196" s="106">
        <v>2.0</v>
      </c>
      <c r="E1196" s="24">
        <f t="shared" ref="E1196:E1198" si="400">F1195</f>
        <v>45943</v>
      </c>
      <c r="F1196" s="24">
        <f t="shared" si="40"/>
        <v>45945</v>
      </c>
      <c r="G1196" s="108">
        <f t="shared" ref="G1196:G1198" si="401">B1195</f>
        <v>1194</v>
      </c>
      <c r="H1196" s="101" t="s">
        <v>23</v>
      </c>
    </row>
    <row r="1197" ht="18.75" customHeight="1">
      <c r="A1197" s="290"/>
      <c r="B1197" s="104">
        <f t="shared" si="2"/>
        <v>1196</v>
      </c>
      <c r="C1197" s="289" t="s">
        <v>389</v>
      </c>
      <c r="D1197" s="101">
        <v>4.0</v>
      </c>
      <c r="E1197" s="22">
        <f t="shared" si="400"/>
        <v>45945</v>
      </c>
      <c r="F1197" s="22">
        <f t="shared" si="40"/>
        <v>45949</v>
      </c>
      <c r="G1197" s="142">
        <f t="shared" si="401"/>
        <v>1195</v>
      </c>
      <c r="H1197" s="106" t="s">
        <v>23</v>
      </c>
    </row>
    <row r="1198" ht="18.75" customHeight="1">
      <c r="A1198" s="290"/>
      <c r="B1198" s="99">
        <f t="shared" si="2"/>
        <v>1197</v>
      </c>
      <c r="C1198" s="289" t="s">
        <v>390</v>
      </c>
      <c r="D1198" s="115">
        <v>1.0</v>
      </c>
      <c r="E1198" s="24">
        <f t="shared" si="400"/>
        <v>45949</v>
      </c>
      <c r="F1198" s="24">
        <f t="shared" si="40"/>
        <v>45950</v>
      </c>
      <c r="G1198" s="108">
        <f t="shared" si="401"/>
        <v>1196</v>
      </c>
      <c r="H1198" s="101" t="s">
        <v>49</v>
      </c>
    </row>
    <row r="1199" ht="18.75" customHeight="1">
      <c r="A1199" s="272" t="s">
        <v>373</v>
      </c>
      <c r="B1199" s="99">
        <f t="shared" si="2"/>
        <v>1198</v>
      </c>
      <c r="C1199" s="287" t="s">
        <v>395</v>
      </c>
      <c r="D1199" s="101">
        <v>1.0</v>
      </c>
      <c r="E1199" s="22">
        <f>F910</f>
        <v>45942</v>
      </c>
      <c r="F1199" s="22">
        <f t="shared" si="40"/>
        <v>45943</v>
      </c>
      <c r="G1199" s="31">
        <f>B918</f>
        <v>917</v>
      </c>
      <c r="H1199" s="101" t="s">
        <v>10</v>
      </c>
    </row>
    <row r="1200" ht="18.75" customHeight="1">
      <c r="A1200" s="273" t="s">
        <v>396</v>
      </c>
      <c r="B1200" s="104">
        <f t="shared" si="2"/>
        <v>1199</v>
      </c>
      <c r="C1200" s="287" t="s">
        <v>397</v>
      </c>
      <c r="D1200" s="106">
        <v>2.0</v>
      </c>
      <c r="E1200" s="24">
        <f t="shared" ref="E1200:E1202" si="402">F1199</f>
        <v>45943</v>
      </c>
      <c r="F1200" s="24">
        <f t="shared" si="40"/>
        <v>45945</v>
      </c>
      <c r="G1200" s="108">
        <f t="shared" ref="G1200:G1202" si="403">B1199</f>
        <v>1198</v>
      </c>
      <c r="H1200" s="106" t="s">
        <v>23</v>
      </c>
    </row>
    <row r="1201" ht="18.75" customHeight="1">
      <c r="A1201" s="291"/>
      <c r="B1201" s="99">
        <f t="shared" si="2"/>
        <v>1200</v>
      </c>
      <c r="C1201" s="287" t="s">
        <v>398</v>
      </c>
      <c r="D1201" s="101">
        <v>4.0</v>
      </c>
      <c r="E1201" s="22">
        <f t="shared" si="402"/>
        <v>45945</v>
      </c>
      <c r="F1201" s="22">
        <f t="shared" si="40"/>
        <v>45949</v>
      </c>
      <c r="G1201" s="142">
        <f t="shared" si="403"/>
        <v>1199</v>
      </c>
      <c r="H1201" s="101" t="s">
        <v>23</v>
      </c>
    </row>
    <row r="1202" ht="18.75" customHeight="1">
      <c r="A1202" s="291"/>
      <c r="B1202" s="104">
        <f t="shared" si="2"/>
        <v>1201</v>
      </c>
      <c r="C1202" s="287" t="s">
        <v>399</v>
      </c>
      <c r="D1202" s="115">
        <v>1.0</v>
      </c>
      <c r="E1202" s="24">
        <f t="shared" si="402"/>
        <v>45949</v>
      </c>
      <c r="F1202" s="24">
        <f t="shared" si="40"/>
        <v>45950</v>
      </c>
      <c r="G1202" s="108">
        <f t="shared" si="403"/>
        <v>1200</v>
      </c>
      <c r="H1202" s="106" t="s">
        <v>49</v>
      </c>
    </row>
    <row r="1203" ht="18.75" customHeight="1">
      <c r="A1203" s="291"/>
      <c r="B1203" s="99">
        <f t="shared" si="2"/>
        <v>1202</v>
      </c>
      <c r="C1203" s="289" t="s">
        <v>408</v>
      </c>
      <c r="D1203" s="101">
        <v>1.0</v>
      </c>
      <c r="E1203" s="22">
        <f>F910</f>
        <v>45942</v>
      </c>
      <c r="F1203" s="22">
        <f t="shared" si="40"/>
        <v>45943</v>
      </c>
      <c r="G1203" s="142">
        <f>B918</f>
        <v>917</v>
      </c>
      <c r="H1203" s="101" t="s">
        <v>10</v>
      </c>
    </row>
    <row r="1204" ht="18.75" customHeight="1">
      <c r="A1204" s="291"/>
      <c r="B1204" s="104">
        <f t="shared" si="2"/>
        <v>1203</v>
      </c>
      <c r="C1204" s="289" t="s">
        <v>409</v>
      </c>
      <c r="D1204" s="106">
        <v>2.0</v>
      </c>
      <c r="E1204" s="24">
        <f t="shared" ref="E1204:E1206" si="404">F1203</f>
        <v>45943</v>
      </c>
      <c r="F1204" s="24">
        <f t="shared" si="40"/>
        <v>45945</v>
      </c>
      <c r="G1204" s="108">
        <f t="shared" ref="G1204:G1206" si="405">B1203</f>
        <v>1202</v>
      </c>
      <c r="H1204" s="106" t="s">
        <v>23</v>
      </c>
    </row>
    <row r="1205" ht="18.75" customHeight="1">
      <c r="A1205" s="291"/>
      <c r="B1205" s="99">
        <f t="shared" si="2"/>
        <v>1204</v>
      </c>
      <c r="C1205" s="289" t="s">
        <v>410</v>
      </c>
      <c r="D1205" s="101">
        <v>4.0</v>
      </c>
      <c r="E1205" s="22">
        <f t="shared" si="404"/>
        <v>45945</v>
      </c>
      <c r="F1205" s="22">
        <f t="shared" si="40"/>
        <v>45949</v>
      </c>
      <c r="G1205" s="142">
        <f t="shared" si="405"/>
        <v>1203</v>
      </c>
      <c r="H1205" s="101" t="s">
        <v>23</v>
      </c>
    </row>
    <row r="1206" ht="18.75" customHeight="1">
      <c r="A1206" s="291"/>
      <c r="B1206" s="104">
        <f t="shared" si="2"/>
        <v>1205</v>
      </c>
      <c r="C1206" s="289" t="s">
        <v>411</v>
      </c>
      <c r="D1206" s="115">
        <v>1.0</v>
      </c>
      <c r="E1206" s="24">
        <f t="shared" si="404"/>
        <v>45949</v>
      </c>
      <c r="F1206" s="24">
        <f t="shared" si="40"/>
        <v>45950</v>
      </c>
      <c r="G1206" s="108">
        <f t="shared" si="405"/>
        <v>1204</v>
      </c>
      <c r="H1206" s="106" t="s">
        <v>49</v>
      </c>
    </row>
    <row r="1207" ht="18.75" customHeight="1">
      <c r="A1207" s="274" t="s">
        <v>373</v>
      </c>
      <c r="B1207" s="104">
        <f t="shared" si="2"/>
        <v>1206</v>
      </c>
      <c r="C1207" s="287" t="s">
        <v>416</v>
      </c>
      <c r="D1207" s="101">
        <v>1.0</v>
      </c>
      <c r="E1207" s="24">
        <f>F910</f>
        <v>45942</v>
      </c>
      <c r="F1207" s="24">
        <f t="shared" si="40"/>
        <v>45943</v>
      </c>
      <c r="G1207" s="107">
        <f>B918</f>
        <v>917</v>
      </c>
      <c r="H1207" s="106" t="s">
        <v>10</v>
      </c>
    </row>
    <row r="1208" ht="18.75" customHeight="1">
      <c r="A1208" s="276" t="s">
        <v>417</v>
      </c>
      <c r="B1208" s="99">
        <f t="shared" si="2"/>
        <v>1207</v>
      </c>
      <c r="C1208" s="287" t="s">
        <v>418</v>
      </c>
      <c r="D1208" s="106">
        <v>2.0</v>
      </c>
      <c r="E1208" s="24">
        <f t="shared" ref="E1208:E1210" si="406">F1207</f>
        <v>45943</v>
      </c>
      <c r="F1208" s="24">
        <f t="shared" si="40"/>
        <v>45945</v>
      </c>
      <c r="G1208" s="108">
        <f t="shared" ref="G1208:G1210" si="407">B1207</f>
        <v>1206</v>
      </c>
      <c r="H1208" s="101" t="s">
        <v>23</v>
      </c>
    </row>
    <row r="1209" ht="18.75" customHeight="1">
      <c r="A1209" s="290"/>
      <c r="B1209" s="104">
        <f t="shared" si="2"/>
        <v>1208</v>
      </c>
      <c r="C1209" s="287" t="s">
        <v>419</v>
      </c>
      <c r="D1209" s="101">
        <v>4.0</v>
      </c>
      <c r="E1209" s="22">
        <f t="shared" si="406"/>
        <v>45945</v>
      </c>
      <c r="F1209" s="22">
        <f t="shared" si="40"/>
        <v>45949</v>
      </c>
      <c r="G1209" s="142">
        <f t="shared" si="407"/>
        <v>1207</v>
      </c>
      <c r="H1209" s="106" t="s">
        <v>23</v>
      </c>
    </row>
    <row r="1210" ht="18.75" customHeight="1">
      <c r="A1210" s="290"/>
      <c r="B1210" s="99">
        <f t="shared" si="2"/>
        <v>1209</v>
      </c>
      <c r="C1210" s="287" t="s">
        <v>420</v>
      </c>
      <c r="D1210" s="115">
        <v>1.0</v>
      </c>
      <c r="E1210" s="24">
        <f t="shared" si="406"/>
        <v>45949</v>
      </c>
      <c r="F1210" s="24">
        <f t="shared" si="40"/>
        <v>45950</v>
      </c>
      <c r="G1210" s="108">
        <f t="shared" si="407"/>
        <v>1208</v>
      </c>
      <c r="H1210" s="101" t="s">
        <v>49</v>
      </c>
    </row>
    <row r="1211" ht="18.75" customHeight="1">
      <c r="A1211" s="290"/>
      <c r="B1211" s="104">
        <f t="shared" si="2"/>
        <v>1210</v>
      </c>
      <c r="C1211" s="289" t="s">
        <v>429</v>
      </c>
      <c r="D1211" s="101">
        <v>1.0</v>
      </c>
      <c r="E1211" s="22">
        <f>F910</f>
        <v>45942</v>
      </c>
      <c r="F1211" s="22">
        <f t="shared" si="40"/>
        <v>45943</v>
      </c>
      <c r="G1211" s="142">
        <f>B918</f>
        <v>917</v>
      </c>
      <c r="H1211" s="106" t="s">
        <v>10</v>
      </c>
    </row>
    <row r="1212" ht="18.75" customHeight="1">
      <c r="A1212" s="290"/>
      <c r="B1212" s="99">
        <f t="shared" si="2"/>
        <v>1211</v>
      </c>
      <c r="C1212" s="289" t="s">
        <v>430</v>
      </c>
      <c r="D1212" s="106">
        <v>2.0</v>
      </c>
      <c r="E1212" s="24">
        <f t="shared" ref="E1212:E1214" si="408">F1211</f>
        <v>45943</v>
      </c>
      <c r="F1212" s="24">
        <f t="shared" si="40"/>
        <v>45945</v>
      </c>
      <c r="G1212" s="108">
        <f t="shared" ref="G1212:G1214" si="409">B1211</f>
        <v>1210</v>
      </c>
      <c r="H1212" s="101" t="s">
        <v>23</v>
      </c>
    </row>
    <row r="1213" ht="18.75" customHeight="1">
      <c r="A1213" s="290"/>
      <c r="B1213" s="104">
        <f t="shared" si="2"/>
        <v>1212</v>
      </c>
      <c r="C1213" s="289" t="s">
        <v>431</v>
      </c>
      <c r="D1213" s="101">
        <v>4.0</v>
      </c>
      <c r="E1213" s="22">
        <f t="shared" si="408"/>
        <v>45945</v>
      </c>
      <c r="F1213" s="22">
        <f t="shared" si="40"/>
        <v>45949</v>
      </c>
      <c r="G1213" s="142">
        <f t="shared" si="409"/>
        <v>1211</v>
      </c>
      <c r="H1213" s="106" t="s">
        <v>23</v>
      </c>
    </row>
    <row r="1214" ht="18.75" customHeight="1">
      <c r="A1214" s="290"/>
      <c r="B1214" s="99">
        <f t="shared" si="2"/>
        <v>1213</v>
      </c>
      <c r="C1214" s="289" t="s">
        <v>432</v>
      </c>
      <c r="D1214" s="115">
        <v>1.0</v>
      </c>
      <c r="E1214" s="24">
        <f t="shared" si="408"/>
        <v>45949</v>
      </c>
      <c r="F1214" s="24">
        <f t="shared" si="40"/>
        <v>45950</v>
      </c>
      <c r="G1214" s="108">
        <f t="shared" si="409"/>
        <v>1212</v>
      </c>
      <c r="H1214" s="101" t="s">
        <v>49</v>
      </c>
    </row>
    <row r="1215" ht="18.75" customHeight="1">
      <c r="A1215" s="272" t="s">
        <v>373</v>
      </c>
      <c r="B1215" s="99">
        <f t="shared" si="2"/>
        <v>1214</v>
      </c>
      <c r="C1215" s="287" t="s">
        <v>437</v>
      </c>
      <c r="D1215" s="101">
        <v>1.0</v>
      </c>
      <c r="E1215" s="22">
        <f>F910</f>
        <v>45942</v>
      </c>
      <c r="F1215" s="22">
        <f t="shared" si="40"/>
        <v>45943</v>
      </c>
      <c r="G1215" s="31">
        <f>B918</f>
        <v>917</v>
      </c>
      <c r="H1215" s="101" t="s">
        <v>10</v>
      </c>
    </row>
    <row r="1216" ht="18.75" customHeight="1">
      <c r="A1216" s="273" t="s">
        <v>438</v>
      </c>
      <c r="B1216" s="104">
        <f t="shared" si="2"/>
        <v>1215</v>
      </c>
      <c r="C1216" s="287" t="s">
        <v>439</v>
      </c>
      <c r="D1216" s="106">
        <v>2.0</v>
      </c>
      <c r="E1216" s="24">
        <f t="shared" ref="E1216:E1218" si="410">F1215</f>
        <v>45943</v>
      </c>
      <c r="F1216" s="24">
        <f t="shared" si="40"/>
        <v>45945</v>
      </c>
      <c r="G1216" s="108">
        <f t="shared" ref="G1216:G1218" si="411">B1215</f>
        <v>1214</v>
      </c>
      <c r="H1216" s="106" t="s">
        <v>23</v>
      </c>
    </row>
    <row r="1217" ht="18.75" customHeight="1">
      <c r="A1217" s="273" t="s">
        <v>440</v>
      </c>
      <c r="B1217" s="99">
        <f t="shared" si="2"/>
        <v>1216</v>
      </c>
      <c r="C1217" s="287" t="s">
        <v>441</v>
      </c>
      <c r="D1217" s="101">
        <v>4.0</v>
      </c>
      <c r="E1217" s="22">
        <f t="shared" si="410"/>
        <v>45945</v>
      </c>
      <c r="F1217" s="22">
        <f t="shared" si="40"/>
        <v>45949</v>
      </c>
      <c r="G1217" s="142">
        <f t="shared" si="411"/>
        <v>1215</v>
      </c>
      <c r="H1217" s="101" t="s">
        <v>23</v>
      </c>
    </row>
    <row r="1218" ht="18.75" customHeight="1">
      <c r="A1218" s="291"/>
      <c r="B1218" s="104">
        <f t="shared" si="2"/>
        <v>1217</v>
      </c>
      <c r="C1218" s="287" t="s">
        <v>442</v>
      </c>
      <c r="D1218" s="115">
        <v>1.0</v>
      </c>
      <c r="E1218" s="24">
        <f t="shared" si="410"/>
        <v>45949</v>
      </c>
      <c r="F1218" s="24">
        <f t="shared" si="40"/>
        <v>45950</v>
      </c>
      <c r="G1218" s="108">
        <f t="shared" si="411"/>
        <v>1216</v>
      </c>
      <c r="H1218" s="106" t="s">
        <v>49</v>
      </c>
    </row>
    <row r="1219" ht="18.75" customHeight="1">
      <c r="A1219" s="291"/>
      <c r="B1219" s="99">
        <f t="shared" si="2"/>
        <v>1218</v>
      </c>
      <c r="C1219" s="289" t="s">
        <v>451</v>
      </c>
      <c r="D1219" s="101">
        <v>1.0</v>
      </c>
      <c r="E1219" s="22">
        <f>F910</f>
        <v>45942</v>
      </c>
      <c r="F1219" s="22">
        <f t="shared" si="40"/>
        <v>45943</v>
      </c>
      <c r="G1219" s="142">
        <f>B918</f>
        <v>917</v>
      </c>
      <c r="H1219" s="101" t="s">
        <v>10</v>
      </c>
    </row>
    <row r="1220" ht="18.75" customHeight="1">
      <c r="A1220" s="291"/>
      <c r="B1220" s="104">
        <f t="shared" si="2"/>
        <v>1219</v>
      </c>
      <c r="C1220" s="289" t="s">
        <v>452</v>
      </c>
      <c r="D1220" s="106">
        <v>2.0</v>
      </c>
      <c r="E1220" s="24">
        <f t="shared" ref="E1220:E1230" si="412">F1219</f>
        <v>45943</v>
      </c>
      <c r="F1220" s="24">
        <f t="shared" si="40"/>
        <v>45945</v>
      </c>
      <c r="G1220" s="108">
        <f t="shared" ref="G1220:G1222" si="413">B1219</f>
        <v>1218</v>
      </c>
      <c r="H1220" s="106" t="s">
        <v>23</v>
      </c>
    </row>
    <row r="1221" ht="18.75" customHeight="1">
      <c r="A1221" s="291"/>
      <c r="B1221" s="99">
        <f t="shared" si="2"/>
        <v>1220</v>
      </c>
      <c r="C1221" s="289" t="s">
        <v>453</v>
      </c>
      <c r="D1221" s="101">
        <v>4.0</v>
      </c>
      <c r="E1221" s="22">
        <f t="shared" si="412"/>
        <v>45945</v>
      </c>
      <c r="F1221" s="22">
        <f t="shared" si="40"/>
        <v>45949</v>
      </c>
      <c r="G1221" s="142">
        <f t="shared" si="413"/>
        <v>1219</v>
      </c>
      <c r="H1221" s="101" t="s">
        <v>23</v>
      </c>
    </row>
    <row r="1222" ht="18.75" customHeight="1">
      <c r="A1222" s="291"/>
      <c r="B1222" s="104">
        <f t="shared" si="2"/>
        <v>1221</v>
      </c>
      <c r="C1222" s="289" t="s">
        <v>454</v>
      </c>
      <c r="D1222" s="115">
        <v>1.0</v>
      </c>
      <c r="E1222" s="24">
        <f t="shared" si="412"/>
        <v>45949</v>
      </c>
      <c r="F1222" s="24">
        <f t="shared" si="40"/>
        <v>45950</v>
      </c>
      <c r="G1222" s="108">
        <f t="shared" si="413"/>
        <v>1220</v>
      </c>
      <c r="H1222" s="106" t="s">
        <v>49</v>
      </c>
    </row>
    <row r="1223" ht="45.0" customHeight="1">
      <c r="A1223" s="292" t="s">
        <v>459</v>
      </c>
      <c r="B1223" s="104">
        <f t="shared" si="2"/>
        <v>1222</v>
      </c>
      <c r="C1223" s="125" t="s">
        <v>460</v>
      </c>
      <c r="D1223" s="106">
        <v>1.0</v>
      </c>
      <c r="E1223" s="24">
        <f t="shared" si="412"/>
        <v>45950</v>
      </c>
      <c r="F1223" s="24">
        <f t="shared" si="40"/>
        <v>45951</v>
      </c>
      <c r="G1223" s="107" t="str">
        <f>B1146&amp; "-" &amp;B1150&amp; "-" &amp;B1154&amp; "-" &amp;B1158&amp; "-" &amp;B1162&amp; "-" &amp;B1166&amp; "-" &amp;B1170&amp; "-" &amp;B1174&amp; "-" &amp;B1178&amp; "-" &amp;B1182&amp; "-" &amp;B1186&amp; "-" &amp;B1190&amp; "-" &amp;B1198&amp; "-" &amp;B1202&amp; "-" &amp;B1206&amp; "-" &amp;B1210&amp; "-" &amp;B1214&amp; "-" &amp;B1218&amp; "-" &amp;B1222</f>
        <v>1145-1149-1153-1157-1161-1165-1169-1173-1177-1181-1185-1189-1197-1201-1205-1209-1213-1217-1221</v>
      </c>
      <c r="H1223" s="106" t="s">
        <v>10</v>
      </c>
    </row>
    <row r="1224" ht="18.75" customHeight="1">
      <c r="A1224" s="284" t="s">
        <v>551</v>
      </c>
      <c r="B1224" s="99">
        <f t="shared" si="2"/>
        <v>1223</v>
      </c>
      <c r="C1224" s="125" t="s">
        <v>461</v>
      </c>
      <c r="D1224" s="101">
        <v>2.0</v>
      </c>
      <c r="E1224" s="22">
        <f t="shared" si="412"/>
        <v>45951</v>
      </c>
      <c r="F1224" s="22">
        <f t="shared" si="40"/>
        <v>45953</v>
      </c>
      <c r="G1224" s="142">
        <f t="shared" ref="G1224:G1230" si="414">B1223</f>
        <v>1222</v>
      </c>
      <c r="H1224" s="101" t="s">
        <v>23</v>
      </c>
    </row>
    <row r="1225" ht="18.75" customHeight="1">
      <c r="A1225" s="285"/>
      <c r="B1225" s="108">
        <f t="shared" si="2"/>
        <v>1224</v>
      </c>
      <c r="C1225" s="125" t="s">
        <v>462</v>
      </c>
      <c r="D1225" s="106">
        <v>4.0</v>
      </c>
      <c r="E1225" s="24">
        <f t="shared" si="412"/>
        <v>45953</v>
      </c>
      <c r="F1225" s="24">
        <f t="shared" si="40"/>
        <v>45957</v>
      </c>
      <c r="G1225" s="108">
        <f t="shared" si="414"/>
        <v>1223</v>
      </c>
      <c r="H1225" s="106" t="s">
        <v>23</v>
      </c>
    </row>
    <row r="1226" ht="18.75" customHeight="1">
      <c r="A1226" s="285"/>
      <c r="B1226" s="293">
        <f t="shared" si="2"/>
        <v>1225</v>
      </c>
      <c r="C1226" s="294" t="s">
        <v>463</v>
      </c>
      <c r="D1226" s="295">
        <v>1.0</v>
      </c>
      <c r="E1226" s="296">
        <f t="shared" si="412"/>
        <v>45957</v>
      </c>
      <c r="F1226" s="296">
        <f t="shared" si="40"/>
        <v>45958</v>
      </c>
      <c r="G1226" s="293">
        <f t="shared" si="414"/>
        <v>1224</v>
      </c>
      <c r="H1226" s="297" t="s">
        <v>49</v>
      </c>
    </row>
    <row r="1227" ht="18.75" customHeight="1">
      <c r="A1227" s="298" t="s">
        <v>991</v>
      </c>
      <c r="B1227" s="299">
        <f t="shared" si="2"/>
        <v>1226</v>
      </c>
      <c r="C1227" s="300" t="s">
        <v>1159</v>
      </c>
      <c r="D1227" s="301">
        <v>1.0</v>
      </c>
      <c r="E1227" s="302">
        <f t="shared" si="412"/>
        <v>45958</v>
      </c>
      <c r="F1227" s="302">
        <f t="shared" si="40"/>
        <v>45959</v>
      </c>
      <c r="G1227" s="303">
        <f t="shared" si="414"/>
        <v>1225</v>
      </c>
      <c r="H1227" s="301" t="s">
        <v>10</v>
      </c>
    </row>
    <row r="1228" ht="18.75" customHeight="1">
      <c r="A1228" s="210" t="s">
        <v>1160</v>
      </c>
      <c r="B1228" s="104">
        <f t="shared" si="2"/>
        <v>1227</v>
      </c>
      <c r="C1228" s="100" t="s">
        <v>1161</v>
      </c>
      <c r="D1228" s="106">
        <v>2.0</v>
      </c>
      <c r="E1228" s="24">
        <f t="shared" si="412"/>
        <v>45959</v>
      </c>
      <c r="F1228" s="24">
        <f t="shared" si="40"/>
        <v>45961</v>
      </c>
      <c r="G1228" s="108">
        <f t="shared" si="414"/>
        <v>1226</v>
      </c>
      <c r="H1228" s="106" t="s">
        <v>23</v>
      </c>
    </row>
    <row r="1229" ht="18.75" customHeight="1">
      <c r="A1229" s="109"/>
      <c r="B1229" s="142">
        <f t="shared" si="2"/>
        <v>1228</v>
      </c>
      <c r="C1229" s="100" t="s">
        <v>1162</v>
      </c>
      <c r="D1229" s="101">
        <v>4.0</v>
      </c>
      <c r="E1229" s="24">
        <f t="shared" si="412"/>
        <v>45961</v>
      </c>
      <c r="F1229" s="22">
        <f t="shared" si="40"/>
        <v>45965</v>
      </c>
      <c r="G1229" s="142">
        <f t="shared" si="414"/>
        <v>1227</v>
      </c>
      <c r="H1229" s="101" t="s">
        <v>23</v>
      </c>
    </row>
    <row r="1230" ht="18.75" customHeight="1">
      <c r="A1230" s="109"/>
      <c r="B1230" s="304">
        <f t="shared" si="2"/>
        <v>1229</v>
      </c>
      <c r="C1230" s="100" t="s">
        <v>1163</v>
      </c>
      <c r="D1230" s="115">
        <v>1.0</v>
      </c>
      <c r="E1230" s="24">
        <f t="shared" si="412"/>
        <v>45965</v>
      </c>
      <c r="F1230" s="24">
        <f t="shared" si="40"/>
        <v>45966</v>
      </c>
      <c r="G1230" s="108">
        <f t="shared" si="414"/>
        <v>1228</v>
      </c>
      <c r="H1230" s="106" t="s">
        <v>49</v>
      </c>
    </row>
    <row r="1231" ht="18.75" customHeight="1">
      <c r="A1231" s="305" t="s">
        <v>991</v>
      </c>
      <c r="B1231" s="104">
        <f t="shared" si="2"/>
        <v>1230</v>
      </c>
      <c r="C1231" s="306" t="s">
        <v>1164</v>
      </c>
      <c r="D1231" s="307">
        <v>1.0</v>
      </c>
      <c r="E1231" s="24">
        <f>F1226</f>
        <v>45958</v>
      </c>
      <c r="F1231" s="308">
        <f t="shared" si="40"/>
        <v>45959</v>
      </c>
      <c r="G1231" s="309">
        <f>B1226</f>
        <v>1225</v>
      </c>
      <c r="H1231" s="307" t="s">
        <v>10</v>
      </c>
    </row>
    <row r="1232" ht="18.75" customHeight="1">
      <c r="A1232" s="310" t="s">
        <v>1165</v>
      </c>
      <c r="B1232" s="99">
        <f t="shared" si="2"/>
        <v>1231</v>
      </c>
      <c r="C1232" s="311" t="s">
        <v>1166</v>
      </c>
      <c r="D1232" s="106">
        <v>2.0</v>
      </c>
      <c r="E1232" s="24">
        <f t="shared" ref="E1232:E1234" si="415">F1231</f>
        <v>45959</v>
      </c>
      <c r="F1232" s="24">
        <f t="shared" si="40"/>
        <v>45961</v>
      </c>
      <c r="G1232" s="108">
        <f t="shared" ref="G1232:G1234" si="416">B1231</f>
        <v>1230</v>
      </c>
      <c r="H1232" s="106" t="s">
        <v>23</v>
      </c>
    </row>
    <row r="1233" ht="18.75" customHeight="1">
      <c r="A1233" s="312"/>
      <c r="B1233" s="104">
        <f t="shared" si="2"/>
        <v>1232</v>
      </c>
      <c r="C1233" s="311" t="s">
        <v>1167</v>
      </c>
      <c r="D1233" s="101">
        <v>4.0</v>
      </c>
      <c r="E1233" s="24">
        <f t="shared" si="415"/>
        <v>45961</v>
      </c>
      <c r="F1233" s="22">
        <f t="shared" si="40"/>
        <v>45965</v>
      </c>
      <c r="G1233" s="142">
        <f t="shared" si="416"/>
        <v>1231</v>
      </c>
      <c r="H1233" s="101" t="s">
        <v>23</v>
      </c>
    </row>
    <row r="1234" ht="18.75" customHeight="1">
      <c r="A1234" s="312"/>
      <c r="B1234" s="108">
        <f t="shared" si="2"/>
        <v>1233</v>
      </c>
      <c r="C1234" s="311" t="s">
        <v>1168</v>
      </c>
      <c r="D1234" s="115">
        <v>1.0</v>
      </c>
      <c r="E1234" s="24">
        <f t="shared" si="415"/>
        <v>45965</v>
      </c>
      <c r="F1234" s="24">
        <f t="shared" si="40"/>
        <v>45966</v>
      </c>
      <c r="G1234" s="108">
        <f t="shared" si="416"/>
        <v>1232</v>
      </c>
      <c r="H1234" s="106" t="s">
        <v>49</v>
      </c>
    </row>
    <row r="1235" ht="18.75" customHeight="1">
      <c r="A1235" s="312"/>
      <c r="B1235" s="108">
        <f t="shared" si="2"/>
        <v>1234</v>
      </c>
      <c r="C1235" s="306" t="s">
        <v>1169</v>
      </c>
      <c r="D1235" s="307">
        <v>1.0</v>
      </c>
      <c r="E1235" s="24">
        <f>F1226</f>
        <v>45958</v>
      </c>
      <c r="F1235" s="308">
        <f t="shared" si="40"/>
        <v>45959</v>
      </c>
      <c r="G1235" s="309">
        <f>B1226</f>
        <v>1225</v>
      </c>
      <c r="H1235" s="307" t="s">
        <v>10</v>
      </c>
    </row>
    <row r="1236" ht="18.75" customHeight="1">
      <c r="A1236" s="312"/>
      <c r="B1236" s="142">
        <f t="shared" si="2"/>
        <v>1235</v>
      </c>
      <c r="C1236" s="311" t="s">
        <v>1170</v>
      </c>
      <c r="D1236" s="106">
        <v>2.0</v>
      </c>
      <c r="E1236" s="24">
        <f t="shared" ref="E1236:E1238" si="417">F1235</f>
        <v>45959</v>
      </c>
      <c r="F1236" s="24">
        <f t="shared" si="40"/>
        <v>45961</v>
      </c>
      <c r="G1236" s="108">
        <f t="shared" ref="G1236:G1238" si="418">B1235</f>
        <v>1234</v>
      </c>
      <c r="H1236" s="106" t="s">
        <v>23</v>
      </c>
    </row>
    <row r="1237" ht="18.75" customHeight="1">
      <c r="A1237" s="312"/>
      <c r="B1237" s="108">
        <f t="shared" si="2"/>
        <v>1236</v>
      </c>
      <c r="C1237" s="311" t="s">
        <v>1171</v>
      </c>
      <c r="D1237" s="101">
        <v>4.0</v>
      </c>
      <c r="E1237" s="24">
        <f t="shared" si="417"/>
        <v>45961</v>
      </c>
      <c r="F1237" s="22">
        <f t="shared" si="40"/>
        <v>45965</v>
      </c>
      <c r="G1237" s="142">
        <f t="shared" si="418"/>
        <v>1235</v>
      </c>
      <c r="H1237" s="101" t="s">
        <v>23</v>
      </c>
    </row>
    <row r="1238" ht="18.75" customHeight="1">
      <c r="A1238" s="312"/>
      <c r="B1238" s="108">
        <f t="shared" si="2"/>
        <v>1237</v>
      </c>
      <c r="C1238" s="311" t="s">
        <v>1172</v>
      </c>
      <c r="D1238" s="115">
        <v>1.0</v>
      </c>
      <c r="E1238" s="24">
        <f t="shared" si="417"/>
        <v>45965</v>
      </c>
      <c r="F1238" s="24">
        <f t="shared" si="40"/>
        <v>45966</v>
      </c>
      <c r="G1238" s="108">
        <f t="shared" si="418"/>
        <v>1236</v>
      </c>
      <c r="H1238" s="106" t="s">
        <v>49</v>
      </c>
    </row>
    <row r="1239" ht="18.75" customHeight="1">
      <c r="A1239" s="32" t="s">
        <v>991</v>
      </c>
      <c r="B1239" s="104">
        <f t="shared" si="2"/>
        <v>1238</v>
      </c>
      <c r="C1239" s="313" t="s">
        <v>1173</v>
      </c>
      <c r="D1239" s="307">
        <v>1.0</v>
      </c>
      <c r="E1239" s="24">
        <f>F1226</f>
        <v>45958</v>
      </c>
      <c r="F1239" s="308">
        <f t="shared" si="40"/>
        <v>45959</v>
      </c>
      <c r="G1239" s="309">
        <f>B1226</f>
        <v>1225</v>
      </c>
      <c r="H1239" s="307" t="s">
        <v>10</v>
      </c>
    </row>
    <row r="1240" ht="18.75" customHeight="1">
      <c r="A1240" s="210" t="s">
        <v>1174</v>
      </c>
      <c r="B1240" s="99">
        <f t="shared" si="2"/>
        <v>1239</v>
      </c>
      <c r="C1240" s="100" t="s">
        <v>1175</v>
      </c>
      <c r="D1240" s="106">
        <v>2.0</v>
      </c>
      <c r="E1240" s="24">
        <f t="shared" ref="E1240:E1242" si="419">F1239</f>
        <v>45959</v>
      </c>
      <c r="F1240" s="24">
        <f t="shared" si="40"/>
        <v>45961</v>
      </c>
      <c r="G1240" s="108">
        <f t="shared" ref="G1240:G1242" si="420">B1239</f>
        <v>1238</v>
      </c>
      <c r="H1240" s="106" t="s">
        <v>23</v>
      </c>
    </row>
    <row r="1241" ht="18.75" customHeight="1">
      <c r="A1241" s="109"/>
      <c r="B1241" s="104">
        <f t="shared" si="2"/>
        <v>1240</v>
      </c>
      <c r="C1241" s="100" t="s">
        <v>1176</v>
      </c>
      <c r="D1241" s="101">
        <v>4.0</v>
      </c>
      <c r="E1241" s="24">
        <f t="shared" si="419"/>
        <v>45961</v>
      </c>
      <c r="F1241" s="22">
        <f t="shared" si="40"/>
        <v>45965</v>
      </c>
      <c r="G1241" s="142">
        <f t="shared" si="420"/>
        <v>1239</v>
      </c>
      <c r="H1241" s="101" t="s">
        <v>23</v>
      </c>
    </row>
    <row r="1242" ht="18.75" customHeight="1">
      <c r="A1242" s="109"/>
      <c r="B1242" s="108">
        <f t="shared" si="2"/>
        <v>1241</v>
      </c>
      <c r="C1242" s="100" t="s">
        <v>1177</v>
      </c>
      <c r="D1242" s="115">
        <v>1.0</v>
      </c>
      <c r="E1242" s="24">
        <f t="shared" si="419"/>
        <v>45965</v>
      </c>
      <c r="F1242" s="24">
        <f t="shared" si="40"/>
        <v>45966</v>
      </c>
      <c r="G1242" s="108">
        <f t="shared" si="420"/>
        <v>1240</v>
      </c>
      <c r="H1242" s="106" t="s">
        <v>49</v>
      </c>
    </row>
    <row r="1243" ht="18.75" customHeight="1">
      <c r="A1243" s="109"/>
      <c r="B1243" s="108">
        <f t="shared" si="2"/>
        <v>1242</v>
      </c>
      <c r="C1243" s="313" t="s">
        <v>1178</v>
      </c>
      <c r="D1243" s="307">
        <v>1.0</v>
      </c>
      <c r="E1243" s="24">
        <f>F1226</f>
        <v>45958</v>
      </c>
      <c r="F1243" s="308">
        <f t="shared" si="40"/>
        <v>45959</v>
      </c>
      <c r="G1243" s="309">
        <f>B1226</f>
        <v>1225</v>
      </c>
      <c r="H1243" s="307" t="s">
        <v>10</v>
      </c>
    </row>
    <row r="1244" ht="18.75" customHeight="1">
      <c r="A1244" s="109"/>
      <c r="B1244" s="142">
        <f t="shared" si="2"/>
        <v>1243</v>
      </c>
      <c r="C1244" s="100" t="s">
        <v>1179</v>
      </c>
      <c r="D1244" s="106">
        <v>2.0</v>
      </c>
      <c r="E1244" s="24">
        <f t="shared" ref="E1244:E1246" si="421">F1243</f>
        <v>45959</v>
      </c>
      <c r="F1244" s="24">
        <f t="shared" si="40"/>
        <v>45961</v>
      </c>
      <c r="G1244" s="108">
        <f t="shared" ref="G1244:G1246" si="422">B1243</f>
        <v>1242</v>
      </c>
      <c r="H1244" s="106" t="s">
        <v>23</v>
      </c>
    </row>
    <row r="1245" ht="18.75" customHeight="1">
      <c r="A1245" s="109"/>
      <c r="B1245" s="108">
        <f t="shared" si="2"/>
        <v>1244</v>
      </c>
      <c r="C1245" s="100" t="s">
        <v>1180</v>
      </c>
      <c r="D1245" s="101">
        <v>4.0</v>
      </c>
      <c r="E1245" s="24">
        <f t="shared" si="421"/>
        <v>45961</v>
      </c>
      <c r="F1245" s="22">
        <f t="shared" si="40"/>
        <v>45965</v>
      </c>
      <c r="G1245" s="142">
        <f t="shared" si="422"/>
        <v>1243</v>
      </c>
      <c r="H1245" s="101" t="s">
        <v>23</v>
      </c>
    </row>
    <row r="1246" ht="18.75" customHeight="1">
      <c r="A1246" s="109"/>
      <c r="B1246" s="108">
        <f t="shared" si="2"/>
        <v>1245</v>
      </c>
      <c r="C1246" s="100" t="s">
        <v>1181</v>
      </c>
      <c r="D1246" s="115">
        <v>1.0</v>
      </c>
      <c r="E1246" s="24">
        <f t="shared" si="421"/>
        <v>45965</v>
      </c>
      <c r="F1246" s="24">
        <f t="shared" si="40"/>
        <v>45966</v>
      </c>
      <c r="G1246" s="108">
        <f t="shared" si="422"/>
        <v>1244</v>
      </c>
      <c r="H1246" s="106" t="s">
        <v>49</v>
      </c>
    </row>
    <row r="1247" ht="18.75" customHeight="1">
      <c r="A1247" s="314" t="s">
        <v>991</v>
      </c>
      <c r="B1247" s="104">
        <f t="shared" si="2"/>
        <v>1246</v>
      </c>
      <c r="C1247" s="315" t="s">
        <v>1182</v>
      </c>
      <c r="D1247" s="316">
        <v>1.0</v>
      </c>
      <c r="E1247" s="24">
        <f>F1226</f>
        <v>45958</v>
      </c>
      <c r="F1247" s="91">
        <f t="shared" si="40"/>
        <v>45959</v>
      </c>
      <c r="G1247" s="317">
        <f>B1226</f>
        <v>1225</v>
      </c>
      <c r="H1247" s="316" t="s">
        <v>10</v>
      </c>
    </row>
    <row r="1248" ht="18.75" customHeight="1">
      <c r="A1248" s="310" t="s">
        <v>1183</v>
      </c>
      <c r="B1248" s="99">
        <f t="shared" si="2"/>
        <v>1247</v>
      </c>
      <c r="C1248" s="311" t="s">
        <v>1184</v>
      </c>
      <c r="D1248" s="21">
        <v>2.0</v>
      </c>
      <c r="E1248" s="24">
        <f t="shared" ref="E1248:E1250" si="423">F1247</f>
        <v>45959</v>
      </c>
      <c r="F1248" s="22">
        <f t="shared" si="40"/>
        <v>45961</v>
      </c>
      <c r="G1248" s="31">
        <f t="shared" ref="G1248:G1250" si="424">B1247</f>
        <v>1246</v>
      </c>
      <c r="H1248" s="101" t="s">
        <v>23</v>
      </c>
    </row>
    <row r="1249" ht="18.75" customHeight="1">
      <c r="A1249" s="318"/>
      <c r="B1249" s="104">
        <f t="shared" si="2"/>
        <v>1248</v>
      </c>
      <c r="C1249" s="311" t="s">
        <v>1185</v>
      </c>
      <c r="D1249" s="106">
        <v>4.0</v>
      </c>
      <c r="E1249" s="24">
        <f t="shared" si="423"/>
        <v>45961</v>
      </c>
      <c r="F1249" s="24">
        <f t="shared" si="40"/>
        <v>45965</v>
      </c>
      <c r="G1249" s="107">
        <f t="shared" si="424"/>
        <v>1247</v>
      </c>
      <c r="H1249" s="106" t="s">
        <v>23</v>
      </c>
    </row>
    <row r="1250" ht="18.75" customHeight="1">
      <c r="A1250" s="318"/>
      <c r="B1250" s="99">
        <f t="shared" si="2"/>
        <v>1249</v>
      </c>
      <c r="C1250" s="311" t="s">
        <v>1186</v>
      </c>
      <c r="D1250" s="101">
        <v>1.0</v>
      </c>
      <c r="E1250" s="24">
        <f t="shared" si="423"/>
        <v>45965</v>
      </c>
      <c r="F1250" s="22">
        <f t="shared" si="40"/>
        <v>45966</v>
      </c>
      <c r="G1250" s="31">
        <f t="shared" si="424"/>
        <v>1248</v>
      </c>
      <c r="H1250" s="101" t="s">
        <v>49</v>
      </c>
    </row>
    <row r="1251" ht="18.75" customHeight="1">
      <c r="A1251" s="318"/>
      <c r="B1251" s="104">
        <f t="shared" si="2"/>
        <v>1250</v>
      </c>
      <c r="C1251" s="315" t="s">
        <v>1187</v>
      </c>
      <c r="D1251" s="316">
        <v>1.0</v>
      </c>
      <c r="E1251" s="24">
        <f>F1226</f>
        <v>45958</v>
      </c>
      <c r="F1251" s="91">
        <f t="shared" si="40"/>
        <v>45959</v>
      </c>
      <c r="G1251" s="317">
        <f>B1226</f>
        <v>1225</v>
      </c>
      <c r="H1251" s="316" t="s">
        <v>10</v>
      </c>
    </row>
    <row r="1252" ht="18.75" customHeight="1">
      <c r="A1252" s="318"/>
      <c r="B1252" s="99">
        <f t="shared" si="2"/>
        <v>1251</v>
      </c>
      <c r="C1252" s="311" t="s">
        <v>1188</v>
      </c>
      <c r="D1252" s="101">
        <v>2.0</v>
      </c>
      <c r="E1252" s="24">
        <f t="shared" ref="E1252:E1254" si="425">F1251</f>
        <v>45959</v>
      </c>
      <c r="F1252" s="22">
        <f t="shared" si="40"/>
        <v>45961</v>
      </c>
      <c r="G1252" s="31">
        <f t="shared" ref="G1252:G1254" si="426">B1251</f>
        <v>1250</v>
      </c>
      <c r="H1252" s="101" t="s">
        <v>23</v>
      </c>
    </row>
    <row r="1253" ht="18.75" customHeight="1">
      <c r="A1253" s="318"/>
      <c r="B1253" s="104">
        <f t="shared" si="2"/>
        <v>1252</v>
      </c>
      <c r="C1253" s="311" t="s">
        <v>1189</v>
      </c>
      <c r="D1253" s="23">
        <v>4.0</v>
      </c>
      <c r="E1253" s="24">
        <f t="shared" si="425"/>
        <v>45961</v>
      </c>
      <c r="F1253" s="24">
        <f t="shared" si="40"/>
        <v>45965</v>
      </c>
      <c r="G1253" s="107">
        <f t="shared" si="426"/>
        <v>1251</v>
      </c>
      <c r="H1253" s="106" t="s">
        <v>23</v>
      </c>
    </row>
    <row r="1254" ht="18.75" customHeight="1">
      <c r="A1254" s="319"/>
      <c r="B1254" s="99">
        <f t="shared" si="2"/>
        <v>1253</v>
      </c>
      <c r="C1254" s="311" t="s">
        <v>1190</v>
      </c>
      <c r="D1254" s="101">
        <v>1.0</v>
      </c>
      <c r="E1254" s="24">
        <f t="shared" si="425"/>
        <v>45965</v>
      </c>
      <c r="F1254" s="22">
        <f t="shared" si="40"/>
        <v>45966</v>
      </c>
      <c r="G1254" s="31">
        <f t="shared" si="426"/>
        <v>1252</v>
      </c>
      <c r="H1254" s="101" t="s">
        <v>49</v>
      </c>
    </row>
    <row r="1255" ht="18.75" customHeight="1">
      <c r="A1255" s="69" t="s">
        <v>1191</v>
      </c>
      <c r="B1255" s="108">
        <f t="shared" si="2"/>
        <v>1254</v>
      </c>
      <c r="C1255" s="29" t="s">
        <v>1192</v>
      </c>
      <c r="D1255" s="101">
        <v>1.0</v>
      </c>
      <c r="E1255" s="24">
        <f>F1226</f>
        <v>45958</v>
      </c>
      <c r="F1255" s="91">
        <f t="shared" si="40"/>
        <v>45959</v>
      </c>
      <c r="G1255" s="31">
        <f>B1226</f>
        <v>1225</v>
      </c>
      <c r="H1255" s="316" t="s">
        <v>10</v>
      </c>
    </row>
    <row r="1256" ht="18.75" customHeight="1">
      <c r="A1256" s="69"/>
      <c r="B1256" s="142">
        <f t="shared" si="2"/>
        <v>1255</v>
      </c>
      <c r="C1256" s="29" t="s">
        <v>1193</v>
      </c>
      <c r="D1256" s="106">
        <v>1.0</v>
      </c>
      <c r="E1256" s="24">
        <f t="shared" ref="E1256:E1258" si="427">F1255</f>
        <v>45959</v>
      </c>
      <c r="F1256" s="22">
        <f t="shared" si="40"/>
        <v>45960</v>
      </c>
      <c r="G1256" s="31">
        <f t="shared" ref="G1256:G1258" si="428">B1255</f>
        <v>1254</v>
      </c>
      <c r="H1256" s="101" t="s">
        <v>23</v>
      </c>
    </row>
    <row r="1257" ht="18.75" customHeight="1">
      <c r="A1257" s="320"/>
      <c r="B1257" s="108">
        <f t="shared" si="2"/>
        <v>1256</v>
      </c>
      <c r="C1257" s="29" t="s">
        <v>1194</v>
      </c>
      <c r="D1257" s="101">
        <v>2.0</v>
      </c>
      <c r="E1257" s="24">
        <f t="shared" si="427"/>
        <v>45960</v>
      </c>
      <c r="F1257" s="24">
        <f t="shared" si="40"/>
        <v>45962</v>
      </c>
      <c r="G1257" s="31">
        <f t="shared" si="428"/>
        <v>1255</v>
      </c>
      <c r="H1257" s="106" t="s">
        <v>23</v>
      </c>
    </row>
    <row r="1258" ht="18.75" customHeight="1">
      <c r="A1258" s="320"/>
      <c r="B1258" s="99">
        <f t="shared" si="2"/>
        <v>1257</v>
      </c>
      <c r="C1258" s="29" t="s">
        <v>1195</v>
      </c>
      <c r="D1258" s="108">
        <v>1.0</v>
      </c>
      <c r="E1258" s="24">
        <f t="shared" si="427"/>
        <v>45962</v>
      </c>
      <c r="F1258" s="22">
        <f t="shared" si="40"/>
        <v>45963</v>
      </c>
      <c r="G1258" s="31">
        <f t="shared" si="428"/>
        <v>1256</v>
      </c>
      <c r="H1258" s="101" t="s">
        <v>49</v>
      </c>
    </row>
    <row r="1259" ht="18.75" customHeight="1">
      <c r="A1259" s="69"/>
      <c r="B1259" s="108">
        <f t="shared" si="2"/>
        <v>1258</v>
      </c>
      <c r="C1259" s="321" t="s">
        <v>1196</v>
      </c>
      <c r="D1259" s="101">
        <v>1.0</v>
      </c>
      <c r="E1259" s="24">
        <f>F1226</f>
        <v>45958</v>
      </c>
      <c r="F1259" s="91">
        <f t="shared" si="40"/>
        <v>45959</v>
      </c>
      <c r="G1259" s="31">
        <f>B1226</f>
        <v>1225</v>
      </c>
      <c r="H1259" s="316" t="s">
        <v>10</v>
      </c>
    </row>
    <row r="1260" ht="18.75" customHeight="1">
      <c r="A1260" s="320"/>
      <c r="B1260" s="142">
        <f t="shared" si="2"/>
        <v>1259</v>
      </c>
      <c r="C1260" s="321" t="s">
        <v>1197</v>
      </c>
      <c r="D1260" s="106">
        <v>1.0</v>
      </c>
      <c r="E1260" s="24">
        <f t="shared" ref="E1260:E1262" si="429">F1259</f>
        <v>45959</v>
      </c>
      <c r="F1260" s="22">
        <f t="shared" si="40"/>
        <v>45960</v>
      </c>
      <c r="G1260" s="31">
        <f t="shared" ref="G1260:G1262" si="430">B1259</f>
        <v>1258</v>
      </c>
      <c r="H1260" s="101" t="s">
        <v>23</v>
      </c>
    </row>
    <row r="1261" ht="18.75" customHeight="1">
      <c r="A1261" s="320"/>
      <c r="B1261" s="108">
        <f t="shared" si="2"/>
        <v>1260</v>
      </c>
      <c r="C1261" s="321" t="s">
        <v>1198</v>
      </c>
      <c r="D1261" s="101">
        <v>2.0</v>
      </c>
      <c r="E1261" s="24">
        <f t="shared" si="429"/>
        <v>45960</v>
      </c>
      <c r="F1261" s="24">
        <f t="shared" si="40"/>
        <v>45962</v>
      </c>
      <c r="G1261" s="31">
        <f t="shared" si="430"/>
        <v>1259</v>
      </c>
      <c r="H1261" s="106" t="s">
        <v>23</v>
      </c>
    </row>
    <row r="1262" ht="18.75" customHeight="1">
      <c r="A1262" s="69"/>
      <c r="B1262" s="142">
        <f t="shared" si="2"/>
        <v>1261</v>
      </c>
      <c r="C1262" s="321" t="s">
        <v>1199</v>
      </c>
      <c r="D1262" s="108">
        <v>1.0</v>
      </c>
      <c r="E1262" s="24">
        <f t="shared" si="429"/>
        <v>45962</v>
      </c>
      <c r="F1262" s="22">
        <f t="shared" si="40"/>
        <v>45963</v>
      </c>
      <c r="G1262" s="31">
        <f t="shared" si="430"/>
        <v>1260</v>
      </c>
      <c r="H1262" s="101" t="s">
        <v>49</v>
      </c>
    </row>
    <row r="1263" ht="18.75" customHeight="1">
      <c r="A1263" s="320"/>
      <c r="B1263" s="108">
        <f t="shared" si="2"/>
        <v>1262</v>
      </c>
      <c r="C1263" s="29" t="s">
        <v>1200</v>
      </c>
      <c r="D1263" s="101">
        <v>1.0</v>
      </c>
      <c r="E1263" s="24">
        <f>F1226</f>
        <v>45958</v>
      </c>
      <c r="F1263" s="91">
        <f t="shared" si="40"/>
        <v>45959</v>
      </c>
      <c r="G1263" s="31">
        <f>B1226</f>
        <v>1225</v>
      </c>
      <c r="H1263" s="316" t="s">
        <v>10</v>
      </c>
    </row>
    <row r="1264" ht="18.75" customHeight="1">
      <c r="A1264" s="320"/>
      <c r="B1264" s="142">
        <f t="shared" si="2"/>
        <v>1263</v>
      </c>
      <c r="C1264" s="29" t="s">
        <v>1201</v>
      </c>
      <c r="D1264" s="106">
        <v>1.0</v>
      </c>
      <c r="E1264" s="24">
        <f t="shared" ref="E1264:E1266" si="431">F1263</f>
        <v>45959</v>
      </c>
      <c r="F1264" s="22">
        <f t="shared" si="40"/>
        <v>45960</v>
      </c>
      <c r="G1264" s="31">
        <f t="shared" ref="G1264:G1266" si="432">B1263</f>
        <v>1262</v>
      </c>
      <c r="H1264" s="101" t="s">
        <v>23</v>
      </c>
    </row>
    <row r="1265" ht="18.75" customHeight="1">
      <c r="A1265" s="69"/>
      <c r="B1265" s="108">
        <f t="shared" si="2"/>
        <v>1264</v>
      </c>
      <c r="C1265" s="29" t="s">
        <v>1202</v>
      </c>
      <c r="D1265" s="101">
        <v>2.0</v>
      </c>
      <c r="E1265" s="24">
        <f t="shared" si="431"/>
        <v>45960</v>
      </c>
      <c r="F1265" s="24">
        <f t="shared" si="40"/>
        <v>45962</v>
      </c>
      <c r="G1265" s="31">
        <f t="shared" si="432"/>
        <v>1263</v>
      </c>
      <c r="H1265" s="106" t="s">
        <v>23</v>
      </c>
    </row>
    <row r="1266" ht="18.75" customHeight="1">
      <c r="A1266" s="320"/>
      <c r="B1266" s="142">
        <f t="shared" si="2"/>
        <v>1265</v>
      </c>
      <c r="C1266" s="29" t="s">
        <v>1203</v>
      </c>
      <c r="D1266" s="108">
        <v>1.0</v>
      </c>
      <c r="E1266" s="24">
        <f t="shared" si="431"/>
        <v>45962</v>
      </c>
      <c r="F1266" s="22">
        <f t="shared" si="40"/>
        <v>45963</v>
      </c>
      <c r="G1266" s="31">
        <f t="shared" si="432"/>
        <v>1264</v>
      </c>
      <c r="H1266" s="101" t="s">
        <v>49</v>
      </c>
    </row>
    <row r="1267" ht="18.75" customHeight="1">
      <c r="A1267" s="320"/>
      <c r="B1267" s="108">
        <f t="shared" si="2"/>
        <v>1266</v>
      </c>
      <c r="C1267" s="321" t="s">
        <v>1204</v>
      </c>
      <c r="D1267" s="101">
        <v>1.0</v>
      </c>
      <c r="E1267" s="24">
        <f>F1226</f>
        <v>45958</v>
      </c>
      <c r="F1267" s="91">
        <f t="shared" si="40"/>
        <v>45959</v>
      </c>
      <c r="G1267" s="31">
        <f>B1226</f>
        <v>1225</v>
      </c>
      <c r="H1267" s="316" t="s">
        <v>10</v>
      </c>
    </row>
    <row r="1268" ht="18.75" customHeight="1">
      <c r="A1268" s="69"/>
      <c r="B1268" s="142">
        <f t="shared" si="2"/>
        <v>1267</v>
      </c>
      <c r="C1268" s="321" t="s">
        <v>1205</v>
      </c>
      <c r="D1268" s="106">
        <v>1.0</v>
      </c>
      <c r="E1268" s="24">
        <f t="shared" ref="E1268:E1270" si="433">F1267</f>
        <v>45959</v>
      </c>
      <c r="F1268" s="22">
        <f t="shared" si="40"/>
        <v>45960</v>
      </c>
      <c r="G1268" s="31">
        <f t="shared" ref="G1268:G1270" si="434">B1267</f>
        <v>1266</v>
      </c>
      <c r="H1268" s="101" t="s">
        <v>23</v>
      </c>
    </row>
    <row r="1269" ht="18.75" customHeight="1">
      <c r="A1269" s="320"/>
      <c r="B1269" s="108">
        <f t="shared" si="2"/>
        <v>1268</v>
      </c>
      <c r="C1269" s="321" t="s">
        <v>1206</v>
      </c>
      <c r="D1269" s="101">
        <v>2.0</v>
      </c>
      <c r="E1269" s="24">
        <f t="shared" si="433"/>
        <v>45960</v>
      </c>
      <c r="F1269" s="24">
        <f t="shared" si="40"/>
        <v>45962</v>
      </c>
      <c r="G1269" s="31">
        <f t="shared" si="434"/>
        <v>1267</v>
      </c>
      <c r="H1269" s="106" t="s">
        <v>23</v>
      </c>
    </row>
    <row r="1270" ht="18.75" customHeight="1">
      <c r="A1270" s="320"/>
      <c r="B1270" s="142">
        <f t="shared" si="2"/>
        <v>1269</v>
      </c>
      <c r="C1270" s="321" t="s">
        <v>1207</v>
      </c>
      <c r="D1270" s="108">
        <v>1.0</v>
      </c>
      <c r="E1270" s="24">
        <f t="shared" si="433"/>
        <v>45962</v>
      </c>
      <c r="F1270" s="22">
        <f t="shared" si="40"/>
        <v>45963</v>
      </c>
      <c r="G1270" s="31">
        <f t="shared" si="434"/>
        <v>1268</v>
      </c>
      <c r="H1270" s="101" t="s">
        <v>49</v>
      </c>
    </row>
    <row r="1271" ht="18.75" customHeight="1">
      <c r="A1271" s="69"/>
      <c r="B1271" s="108">
        <f t="shared" si="2"/>
        <v>1270</v>
      </c>
      <c r="C1271" s="29" t="s">
        <v>1208</v>
      </c>
      <c r="D1271" s="101">
        <v>1.0</v>
      </c>
      <c r="E1271" s="24">
        <f>F1226</f>
        <v>45958</v>
      </c>
      <c r="F1271" s="91">
        <f t="shared" si="40"/>
        <v>45959</v>
      </c>
      <c r="G1271" s="31">
        <f>B1226</f>
        <v>1225</v>
      </c>
      <c r="H1271" s="316" t="s">
        <v>10</v>
      </c>
    </row>
    <row r="1272" ht="18.75" customHeight="1">
      <c r="A1272" s="320"/>
      <c r="B1272" s="142">
        <f t="shared" si="2"/>
        <v>1271</v>
      </c>
      <c r="C1272" s="29" t="s">
        <v>1209</v>
      </c>
      <c r="D1272" s="106">
        <v>1.0</v>
      </c>
      <c r="E1272" s="24">
        <f t="shared" ref="E1272:E1274" si="435">F1271</f>
        <v>45959</v>
      </c>
      <c r="F1272" s="22">
        <f t="shared" si="40"/>
        <v>45960</v>
      </c>
      <c r="G1272" s="31">
        <f t="shared" ref="G1272:G1274" si="436">B1271</f>
        <v>1270</v>
      </c>
      <c r="H1272" s="101" t="s">
        <v>23</v>
      </c>
    </row>
    <row r="1273" ht="18.75" customHeight="1">
      <c r="A1273" s="320"/>
      <c r="B1273" s="108">
        <f t="shared" si="2"/>
        <v>1272</v>
      </c>
      <c r="C1273" s="29" t="s">
        <v>1210</v>
      </c>
      <c r="D1273" s="101">
        <v>2.0</v>
      </c>
      <c r="E1273" s="24">
        <f t="shared" si="435"/>
        <v>45960</v>
      </c>
      <c r="F1273" s="24">
        <f t="shared" si="40"/>
        <v>45962</v>
      </c>
      <c r="G1273" s="31">
        <f t="shared" si="436"/>
        <v>1271</v>
      </c>
      <c r="H1273" s="106" t="s">
        <v>23</v>
      </c>
    </row>
    <row r="1274" ht="18.75" customHeight="1">
      <c r="A1274" s="69"/>
      <c r="B1274" s="142">
        <f t="shared" si="2"/>
        <v>1273</v>
      </c>
      <c r="C1274" s="29" t="s">
        <v>1211</v>
      </c>
      <c r="D1274" s="108">
        <v>1.0</v>
      </c>
      <c r="E1274" s="24">
        <f t="shared" si="435"/>
        <v>45962</v>
      </c>
      <c r="F1274" s="22">
        <f t="shared" si="40"/>
        <v>45963</v>
      </c>
      <c r="G1274" s="31">
        <f t="shared" si="436"/>
        <v>1272</v>
      </c>
      <c r="H1274" s="101" t="s">
        <v>49</v>
      </c>
    </row>
    <row r="1275" ht="18.75" customHeight="1">
      <c r="A1275" s="69"/>
      <c r="B1275" s="108">
        <f t="shared" si="2"/>
        <v>1274</v>
      </c>
      <c r="C1275" s="321" t="s">
        <v>1212</v>
      </c>
      <c r="D1275" s="101">
        <v>1.0</v>
      </c>
      <c r="E1275" s="24">
        <f>F1226</f>
        <v>45958</v>
      </c>
      <c r="F1275" s="91">
        <f t="shared" si="40"/>
        <v>45959</v>
      </c>
      <c r="G1275" s="31">
        <f>B1226</f>
        <v>1225</v>
      </c>
      <c r="H1275" s="316" t="s">
        <v>10</v>
      </c>
    </row>
    <row r="1276" ht="18.75" customHeight="1">
      <c r="A1276" s="69"/>
      <c r="B1276" s="142">
        <f t="shared" si="2"/>
        <v>1275</v>
      </c>
      <c r="C1276" s="321" t="s">
        <v>1213</v>
      </c>
      <c r="D1276" s="106">
        <v>1.0</v>
      </c>
      <c r="E1276" s="24">
        <f t="shared" ref="E1276:E1278" si="437">F1275</f>
        <v>45959</v>
      </c>
      <c r="F1276" s="22">
        <f t="shared" si="40"/>
        <v>45960</v>
      </c>
      <c r="G1276" s="31">
        <f t="shared" ref="G1276:G1278" si="438">B1275</f>
        <v>1274</v>
      </c>
      <c r="H1276" s="101" t="s">
        <v>23</v>
      </c>
    </row>
    <row r="1277" ht="18.75" customHeight="1">
      <c r="A1277" s="320"/>
      <c r="B1277" s="108">
        <f t="shared" si="2"/>
        <v>1276</v>
      </c>
      <c r="C1277" s="321" t="s">
        <v>1214</v>
      </c>
      <c r="D1277" s="101">
        <v>2.0</v>
      </c>
      <c r="E1277" s="24">
        <f t="shared" si="437"/>
        <v>45960</v>
      </c>
      <c r="F1277" s="24">
        <f t="shared" si="40"/>
        <v>45962</v>
      </c>
      <c r="G1277" s="31">
        <f t="shared" si="438"/>
        <v>1275</v>
      </c>
      <c r="H1277" s="106" t="s">
        <v>23</v>
      </c>
    </row>
    <row r="1278" ht="18.75" customHeight="1">
      <c r="A1278" s="69"/>
      <c r="B1278" s="142">
        <f t="shared" si="2"/>
        <v>1277</v>
      </c>
      <c r="C1278" s="321" t="s">
        <v>1215</v>
      </c>
      <c r="D1278" s="108">
        <v>1.0</v>
      </c>
      <c r="E1278" s="24">
        <f t="shared" si="437"/>
        <v>45962</v>
      </c>
      <c r="F1278" s="22">
        <f t="shared" si="40"/>
        <v>45963</v>
      </c>
      <c r="G1278" s="31">
        <f t="shared" si="438"/>
        <v>1276</v>
      </c>
      <c r="H1278" s="101" t="s">
        <v>49</v>
      </c>
    </row>
    <row r="1279" ht="18.75" customHeight="1">
      <c r="A1279" s="75" t="s">
        <v>1216</v>
      </c>
      <c r="B1279" s="99">
        <f t="shared" si="2"/>
        <v>1278</v>
      </c>
      <c r="C1279" s="78" t="s">
        <v>1217</v>
      </c>
      <c r="D1279" s="101">
        <v>1.0</v>
      </c>
      <c r="E1279" s="24">
        <f>F1226</f>
        <v>45958</v>
      </c>
      <c r="F1279" s="22">
        <f t="shared" si="40"/>
        <v>45959</v>
      </c>
      <c r="G1279" s="142">
        <f>B1226</f>
        <v>1225</v>
      </c>
      <c r="H1279" s="316" t="s">
        <v>10</v>
      </c>
    </row>
    <row r="1280" ht="18.75" customHeight="1">
      <c r="A1280" s="220" t="s">
        <v>1218</v>
      </c>
      <c r="B1280" s="99">
        <f t="shared" si="2"/>
        <v>1279</v>
      </c>
      <c r="C1280" s="322" t="s">
        <v>1219</v>
      </c>
      <c r="D1280" s="106">
        <v>1.0</v>
      </c>
      <c r="E1280" s="24">
        <f t="shared" ref="E1280:E1282" si="439">F1279</f>
        <v>45959</v>
      </c>
      <c r="F1280" s="22">
        <f t="shared" si="40"/>
        <v>45960</v>
      </c>
      <c r="G1280" s="31">
        <f t="shared" ref="G1280:G1282" si="440">B1279</f>
        <v>1278</v>
      </c>
      <c r="H1280" s="101" t="s">
        <v>23</v>
      </c>
    </row>
    <row r="1281" ht="18.75" customHeight="1">
      <c r="A1281" s="220"/>
      <c r="B1281" s="99">
        <f t="shared" si="2"/>
        <v>1280</v>
      </c>
      <c r="C1281" s="78" t="s">
        <v>1220</v>
      </c>
      <c r="D1281" s="101">
        <v>2.0</v>
      </c>
      <c r="E1281" s="24">
        <f t="shared" si="439"/>
        <v>45960</v>
      </c>
      <c r="F1281" s="22">
        <f t="shared" si="40"/>
        <v>45962</v>
      </c>
      <c r="G1281" s="31">
        <f t="shared" si="440"/>
        <v>1279</v>
      </c>
      <c r="H1281" s="115" t="s">
        <v>1221</v>
      </c>
    </row>
    <row r="1282" ht="18.75" customHeight="1">
      <c r="A1282" s="220"/>
      <c r="B1282" s="99">
        <f t="shared" si="2"/>
        <v>1281</v>
      </c>
      <c r="C1282" s="78" t="s">
        <v>1222</v>
      </c>
      <c r="D1282" s="108">
        <v>1.0</v>
      </c>
      <c r="E1282" s="24">
        <f t="shared" si="439"/>
        <v>45962</v>
      </c>
      <c r="F1282" s="22">
        <f t="shared" si="40"/>
        <v>45963</v>
      </c>
      <c r="G1282" s="31">
        <f t="shared" si="440"/>
        <v>1280</v>
      </c>
      <c r="H1282" s="110" t="s">
        <v>1223</v>
      </c>
    </row>
    <row r="1283" ht="18.75" customHeight="1">
      <c r="A1283" s="220"/>
      <c r="B1283" s="104">
        <f t="shared" si="2"/>
        <v>1282</v>
      </c>
      <c r="C1283" s="323" t="s">
        <v>1224</v>
      </c>
      <c r="D1283" s="101">
        <v>1.0</v>
      </c>
      <c r="E1283" s="24">
        <f>F1226</f>
        <v>45958</v>
      </c>
      <c r="F1283" s="22">
        <f t="shared" si="40"/>
        <v>45959</v>
      </c>
      <c r="G1283" s="142">
        <f>B1226</f>
        <v>1225</v>
      </c>
      <c r="H1283" s="316" t="s">
        <v>10</v>
      </c>
    </row>
    <row r="1284" ht="18.75" customHeight="1">
      <c r="A1284" s="220"/>
      <c r="B1284" s="104">
        <f t="shared" si="2"/>
        <v>1283</v>
      </c>
      <c r="C1284" s="324" t="s">
        <v>1225</v>
      </c>
      <c r="D1284" s="106">
        <v>1.0</v>
      </c>
      <c r="E1284" s="24">
        <f t="shared" ref="E1284:E1286" si="441">F1283</f>
        <v>45959</v>
      </c>
      <c r="F1284" s="22">
        <f t="shared" si="40"/>
        <v>45960</v>
      </c>
      <c r="G1284" s="31">
        <f t="shared" ref="G1284:G1286" si="442">B1283</f>
        <v>1282</v>
      </c>
      <c r="H1284" s="101" t="s">
        <v>23</v>
      </c>
    </row>
    <row r="1285" ht="18.75" customHeight="1">
      <c r="A1285" s="220"/>
      <c r="B1285" s="104">
        <f t="shared" si="2"/>
        <v>1284</v>
      </c>
      <c r="C1285" s="323" t="s">
        <v>1226</v>
      </c>
      <c r="D1285" s="101">
        <v>2.0</v>
      </c>
      <c r="E1285" s="24">
        <f t="shared" si="441"/>
        <v>45960</v>
      </c>
      <c r="F1285" s="22">
        <f t="shared" si="40"/>
        <v>45962</v>
      </c>
      <c r="G1285" s="31">
        <f t="shared" si="442"/>
        <v>1283</v>
      </c>
      <c r="H1285" s="115" t="s">
        <v>1221</v>
      </c>
    </row>
    <row r="1286" ht="18.75" customHeight="1">
      <c r="A1286" s="220"/>
      <c r="B1286" s="104">
        <f t="shared" si="2"/>
        <v>1285</v>
      </c>
      <c r="C1286" s="323" t="s">
        <v>1227</v>
      </c>
      <c r="D1286" s="108">
        <v>1.0</v>
      </c>
      <c r="E1286" s="24">
        <f t="shared" si="441"/>
        <v>45962</v>
      </c>
      <c r="F1286" s="22">
        <f t="shared" si="40"/>
        <v>45963</v>
      </c>
      <c r="G1286" s="31">
        <f t="shared" si="442"/>
        <v>1284</v>
      </c>
      <c r="H1286" s="110" t="s">
        <v>1223</v>
      </c>
    </row>
    <row r="1287" ht="18.75" customHeight="1">
      <c r="A1287" s="277"/>
      <c r="B1287" s="325">
        <f t="shared" si="2"/>
        <v>1286</v>
      </c>
      <c r="C1287" s="78" t="s">
        <v>1228</v>
      </c>
      <c r="D1287" s="101">
        <v>1.0</v>
      </c>
      <c r="E1287" s="24">
        <f>F1226</f>
        <v>45958</v>
      </c>
      <c r="F1287" s="22">
        <f t="shared" si="40"/>
        <v>45959</v>
      </c>
      <c r="G1287" s="142">
        <f>B1226</f>
        <v>1225</v>
      </c>
      <c r="H1287" s="316" t="s">
        <v>10</v>
      </c>
    </row>
    <row r="1288" ht="18.75" customHeight="1">
      <c r="A1288" s="277"/>
      <c r="B1288" s="99">
        <f t="shared" si="2"/>
        <v>1287</v>
      </c>
      <c r="C1288" s="322" t="s">
        <v>1229</v>
      </c>
      <c r="D1288" s="106">
        <v>1.0</v>
      </c>
      <c r="E1288" s="24">
        <f t="shared" ref="E1288:E1290" si="443">F1287</f>
        <v>45959</v>
      </c>
      <c r="F1288" s="22">
        <f t="shared" si="40"/>
        <v>45960</v>
      </c>
      <c r="G1288" s="31">
        <f t="shared" ref="G1288:G1290" si="444">B1287</f>
        <v>1286</v>
      </c>
      <c r="H1288" s="101" t="s">
        <v>23</v>
      </c>
    </row>
    <row r="1289" ht="18.75" customHeight="1">
      <c r="A1289" s="277"/>
      <c r="B1289" s="99">
        <f t="shared" si="2"/>
        <v>1288</v>
      </c>
      <c r="C1289" s="78" t="s">
        <v>1230</v>
      </c>
      <c r="D1289" s="101">
        <v>2.0</v>
      </c>
      <c r="E1289" s="24">
        <f t="shared" si="443"/>
        <v>45960</v>
      </c>
      <c r="F1289" s="22">
        <f t="shared" si="40"/>
        <v>45962</v>
      </c>
      <c r="G1289" s="31">
        <f t="shared" si="444"/>
        <v>1287</v>
      </c>
      <c r="H1289" s="115" t="s">
        <v>1221</v>
      </c>
    </row>
    <row r="1290" ht="18.75" customHeight="1">
      <c r="A1290" s="277"/>
      <c r="B1290" s="99">
        <f t="shared" si="2"/>
        <v>1289</v>
      </c>
      <c r="C1290" s="78" t="s">
        <v>1231</v>
      </c>
      <c r="D1290" s="108">
        <v>1.0</v>
      </c>
      <c r="E1290" s="24">
        <f t="shared" si="443"/>
        <v>45962</v>
      </c>
      <c r="F1290" s="22">
        <f t="shared" si="40"/>
        <v>45963</v>
      </c>
      <c r="G1290" s="31">
        <f t="shared" si="444"/>
        <v>1288</v>
      </c>
      <c r="H1290" s="110" t="s">
        <v>1223</v>
      </c>
    </row>
    <row r="1291" ht="18.75" customHeight="1">
      <c r="A1291" s="220"/>
      <c r="B1291" s="104">
        <f t="shared" si="2"/>
        <v>1290</v>
      </c>
      <c r="C1291" s="323" t="s">
        <v>1232</v>
      </c>
      <c r="D1291" s="101">
        <v>1.0</v>
      </c>
      <c r="E1291" s="24">
        <f>F1226</f>
        <v>45958</v>
      </c>
      <c r="F1291" s="22">
        <f t="shared" si="40"/>
        <v>45959</v>
      </c>
      <c r="G1291" s="142">
        <f>B1226</f>
        <v>1225</v>
      </c>
      <c r="H1291" s="316" t="s">
        <v>10</v>
      </c>
    </row>
    <row r="1292" ht="18.75" customHeight="1">
      <c r="A1292" s="220"/>
      <c r="B1292" s="104">
        <f t="shared" si="2"/>
        <v>1291</v>
      </c>
      <c r="C1292" s="324" t="s">
        <v>1233</v>
      </c>
      <c r="D1292" s="106">
        <v>1.0</v>
      </c>
      <c r="E1292" s="24">
        <f t="shared" ref="E1292:E1294" si="445">F1291</f>
        <v>45959</v>
      </c>
      <c r="F1292" s="22">
        <f t="shared" si="40"/>
        <v>45960</v>
      </c>
      <c r="G1292" s="31">
        <f t="shared" ref="G1292:G1294" si="446">B1291</f>
        <v>1290</v>
      </c>
      <c r="H1292" s="101" t="s">
        <v>23</v>
      </c>
    </row>
    <row r="1293" ht="18.75" customHeight="1">
      <c r="A1293" s="220"/>
      <c r="B1293" s="104">
        <f t="shared" si="2"/>
        <v>1292</v>
      </c>
      <c r="C1293" s="323" t="s">
        <v>1234</v>
      </c>
      <c r="D1293" s="101">
        <v>2.0</v>
      </c>
      <c r="E1293" s="24">
        <f t="shared" si="445"/>
        <v>45960</v>
      </c>
      <c r="F1293" s="22">
        <f t="shared" si="40"/>
        <v>45962</v>
      </c>
      <c r="G1293" s="31">
        <f t="shared" si="446"/>
        <v>1291</v>
      </c>
      <c r="H1293" s="115" t="s">
        <v>1221</v>
      </c>
    </row>
    <row r="1294" ht="18.75" customHeight="1">
      <c r="A1294" s="220"/>
      <c r="B1294" s="104">
        <f t="shared" si="2"/>
        <v>1293</v>
      </c>
      <c r="C1294" s="323" t="s">
        <v>1235</v>
      </c>
      <c r="D1294" s="108">
        <v>1.0</v>
      </c>
      <c r="E1294" s="24">
        <f t="shared" si="445"/>
        <v>45962</v>
      </c>
      <c r="F1294" s="22">
        <f t="shared" si="40"/>
        <v>45963</v>
      </c>
      <c r="G1294" s="31">
        <f t="shared" si="446"/>
        <v>1292</v>
      </c>
      <c r="H1294" s="110" t="s">
        <v>1223</v>
      </c>
    </row>
    <row r="1295" ht="18.75" customHeight="1">
      <c r="A1295" s="15" t="s">
        <v>1236</v>
      </c>
      <c r="B1295" s="99">
        <f t="shared" si="2"/>
        <v>1294</v>
      </c>
      <c r="C1295" s="67" t="s">
        <v>1237</v>
      </c>
      <c r="D1295" s="101">
        <v>1.0</v>
      </c>
      <c r="E1295" s="24">
        <f>F1226</f>
        <v>45958</v>
      </c>
      <c r="F1295" s="22">
        <f t="shared" si="40"/>
        <v>45959</v>
      </c>
      <c r="G1295" s="142">
        <f>B1226</f>
        <v>1225</v>
      </c>
      <c r="H1295" s="316" t="s">
        <v>10</v>
      </c>
    </row>
    <row r="1296" ht="18.75" customHeight="1">
      <c r="A1296" s="19" t="s">
        <v>1104</v>
      </c>
      <c r="B1296" s="99">
        <f t="shared" si="2"/>
        <v>1295</v>
      </c>
      <c r="C1296" s="67" t="s">
        <v>1238</v>
      </c>
      <c r="D1296" s="106">
        <v>1.0</v>
      </c>
      <c r="E1296" s="24">
        <f t="shared" ref="E1296:E1298" si="447">F1295</f>
        <v>45959</v>
      </c>
      <c r="F1296" s="22">
        <f t="shared" si="40"/>
        <v>45960</v>
      </c>
      <c r="G1296" s="31">
        <f t="shared" ref="G1296:G1298" si="448">B1295</f>
        <v>1294</v>
      </c>
      <c r="H1296" s="101" t="s">
        <v>23</v>
      </c>
    </row>
    <row r="1297" ht="18.75" customHeight="1">
      <c r="A1297" s="19"/>
      <c r="B1297" s="99">
        <f t="shared" si="2"/>
        <v>1296</v>
      </c>
      <c r="C1297" s="67" t="s">
        <v>1239</v>
      </c>
      <c r="D1297" s="101">
        <v>2.0</v>
      </c>
      <c r="E1297" s="24">
        <f t="shared" si="447"/>
        <v>45960</v>
      </c>
      <c r="F1297" s="22">
        <f t="shared" si="40"/>
        <v>45962</v>
      </c>
      <c r="G1297" s="31">
        <f t="shared" si="448"/>
        <v>1295</v>
      </c>
      <c r="H1297" s="115" t="s">
        <v>1221</v>
      </c>
    </row>
    <row r="1298" ht="18.75" customHeight="1">
      <c r="A1298" s="19"/>
      <c r="B1298" s="99">
        <f t="shared" si="2"/>
        <v>1297</v>
      </c>
      <c r="C1298" s="67" t="s">
        <v>1240</v>
      </c>
      <c r="D1298" s="108">
        <v>1.0</v>
      </c>
      <c r="E1298" s="24">
        <f t="shared" si="447"/>
        <v>45962</v>
      </c>
      <c r="F1298" s="22">
        <f t="shared" si="40"/>
        <v>45963</v>
      </c>
      <c r="G1298" s="31">
        <f t="shared" si="448"/>
        <v>1296</v>
      </c>
      <c r="H1298" s="110" t="s">
        <v>1223</v>
      </c>
    </row>
    <row r="1299" ht="18.75" customHeight="1">
      <c r="A1299" s="122"/>
      <c r="B1299" s="99">
        <f t="shared" si="2"/>
        <v>1298</v>
      </c>
      <c r="C1299" s="270" t="s">
        <v>1241</v>
      </c>
      <c r="D1299" s="101">
        <v>1.0</v>
      </c>
      <c r="E1299" s="24">
        <f>F1226</f>
        <v>45958</v>
      </c>
      <c r="F1299" s="22">
        <f t="shared" si="40"/>
        <v>45959</v>
      </c>
      <c r="G1299" s="142">
        <f>B1226</f>
        <v>1225</v>
      </c>
      <c r="H1299" s="316" t="s">
        <v>10</v>
      </c>
    </row>
    <row r="1300" ht="18.75" customHeight="1">
      <c r="A1300" s="122"/>
      <c r="B1300" s="99">
        <f t="shared" si="2"/>
        <v>1299</v>
      </c>
      <c r="C1300" s="270" t="s">
        <v>1242</v>
      </c>
      <c r="D1300" s="106">
        <v>1.0</v>
      </c>
      <c r="E1300" s="24">
        <f t="shared" ref="E1300:E1302" si="449">F1299</f>
        <v>45959</v>
      </c>
      <c r="F1300" s="22">
        <f t="shared" si="40"/>
        <v>45960</v>
      </c>
      <c r="G1300" s="31">
        <f t="shared" ref="G1300:G1302" si="450">B1299</f>
        <v>1298</v>
      </c>
      <c r="H1300" s="101" t="s">
        <v>23</v>
      </c>
    </row>
    <row r="1301" ht="18.75" customHeight="1">
      <c r="A1301" s="122"/>
      <c r="B1301" s="99">
        <f t="shared" si="2"/>
        <v>1300</v>
      </c>
      <c r="C1301" s="270" t="s">
        <v>1243</v>
      </c>
      <c r="D1301" s="101">
        <v>2.0</v>
      </c>
      <c r="E1301" s="24">
        <f t="shared" si="449"/>
        <v>45960</v>
      </c>
      <c r="F1301" s="22">
        <f t="shared" si="40"/>
        <v>45962</v>
      </c>
      <c r="G1301" s="31">
        <f t="shared" si="450"/>
        <v>1299</v>
      </c>
      <c r="H1301" s="115" t="s">
        <v>1221</v>
      </c>
    </row>
    <row r="1302" ht="18.75" customHeight="1">
      <c r="A1302" s="122"/>
      <c r="B1302" s="99">
        <f t="shared" si="2"/>
        <v>1301</v>
      </c>
      <c r="C1302" s="270" t="s">
        <v>1244</v>
      </c>
      <c r="D1302" s="108">
        <v>1.0</v>
      </c>
      <c r="E1302" s="24">
        <f t="shared" si="449"/>
        <v>45962</v>
      </c>
      <c r="F1302" s="22">
        <f t="shared" si="40"/>
        <v>45963</v>
      </c>
      <c r="G1302" s="31">
        <f t="shared" si="450"/>
        <v>1300</v>
      </c>
      <c r="H1302" s="110" t="s">
        <v>1223</v>
      </c>
    </row>
    <row r="1303" ht="18.75" customHeight="1">
      <c r="A1303" s="122"/>
      <c r="B1303" s="99">
        <f t="shared" si="2"/>
        <v>1302</v>
      </c>
      <c r="C1303" s="67" t="s">
        <v>1245</v>
      </c>
      <c r="D1303" s="101">
        <v>1.0</v>
      </c>
      <c r="E1303" s="24">
        <f>F1226</f>
        <v>45958</v>
      </c>
      <c r="F1303" s="22">
        <f t="shared" si="40"/>
        <v>45959</v>
      </c>
      <c r="G1303" s="142">
        <f>B1226</f>
        <v>1225</v>
      </c>
      <c r="H1303" s="316" t="s">
        <v>10</v>
      </c>
    </row>
    <row r="1304" ht="18.75" customHeight="1">
      <c r="A1304" s="122"/>
      <c r="B1304" s="99">
        <f t="shared" si="2"/>
        <v>1303</v>
      </c>
      <c r="C1304" s="67" t="s">
        <v>1246</v>
      </c>
      <c r="D1304" s="106">
        <v>1.0</v>
      </c>
      <c r="E1304" s="24">
        <f t="shared" ref="E1304:E1306" si="451">F1303</f>
        <v>45959</v>
      </c>
      <c r="F1304" s="22">
        <f t="shared" si="40"/>
        <v>45960</v>
      </c>
      <c r="G1304" s="31">
        <f t="shared" ref="G1304:G1306" si="452">B1303</f>
        <v>1302</v>
      </c>
      <c r="H1304" s="101" t="s">
        <v>23</v>
      </c>
    </row>
    <row r="1305" ht="18.75" customHeight="1">
      <c r="A1305" s="122"/>
      <c r="B1305" s="99">
        <f t="shared" si="2"/>
        <v>1304</v>
      </c>
      <c r="C1305" s="67" t="s">
        <v>1247</v>
      </c>
      <c r="D1305" s="101">
        <v>2.0</v>
      </c>
      <c r="E1305" s="24">
        <f t="shared" si="451"/>
        <v>45960</v>
      </c>
      <c r="F1305" s="22">
        <f t="shared" si="40"/>
        <v>45962</v>
      </c>
      <c r="G1305" s="31">
        <f t="shared" si="452"/>
        <v>1303</v>
      </c>
      <c r="H1305" s="115" t="s">
        <v>1221</v>
      </c>
    </row>
    <row r="1306" ht="18.75" customHeight="1">
      <c r="A1306" s="122"/>
      <c r="B1306" s="99">
        <f t="shared" si="2"/>
        <v>1305</v>
      </c>
      <c r="C1306" s="67" t="s">
        <v>1248</v>
      </c>
      <c r="D1306" s="108">
        <v>1.0</v>
      </c>
      <c r="E1306" s="24">
        <f t="shared" si="451"/>
        <v>45962</v>
      </c>
      <c r="F1306" s="22">
        <f t="shared" si="40"/>
        <v>45963</v>
      </c>
      <c r="G1306" s="31">
        <f t="shared" si="452"/>
        <v>1304</v>
      </c>
      <c r="H1306" s="110" t="s">
        <v>1223</v>
      </c>
    </row>
    <row r="1307" ht="18.75" customHeight="1">
      <c r="A1307" s="122"/>
      <c r="B1307" s="99">
        <f t="shared" si="2"/>
        <v>1306</v>
      </c>
      <c r="C1307" s="270" t="s">
        <v>1249</v>
      </c>
      <c r="D1307" s="101">
        <v>1.0</v>
      </c>
      <c r="E1307" s="24">
        <f>F1226</f>
        <v>45958</v>
      </c>
      <c r="F1307" s="22">
        <f t="shared" si="40"/>
        <v>45959</v>
      </c>
      <c r="G1307" s="142">
        <f>B1226</f>
        <v>1225</v>
      </c>
      <c r="H1307" s="316" t="s">
        <v>10</v>
      </c>
    </row>
    <row r="1308" ht="18.75" customHeight="1">
      <c r="A1308" s="122"/>
      <c r="B1308" s="99">
        <f t="shared" si="2"/>
        <v>1307</v>
      </c>
      <c r="C1308" s="270" t="s">
        <v>1250</v>
      </c>
      <c r="D1308" s="106">
        <v>1.0</v>
      </c>
      <c r="E1308" s="24">
        <f t="shared" ref="E1308:E1310" si="453">F1307</f>
        <v>45959</v>
      </c>
      <c r="F1308" s="22">
        <f t="shared" si="40"/>
        <v>45960</v>
      </c>
      <c r="G1308" s="31">
        <f t="shared" ref="G1308:G1310" si="454">B1307</f>
        <v>1306</v>
      </c>
      <c r="H1308" s="101" t="s">
        <v>23</v>
      </c>
    </row>
    <row r="1309" ht="18.75" customHeight="1">
      <c r="A1309" s="122"/>
      <c r="B1309" s="99">
        <f t="shared" si="2"/>
        <v>1308</v>
      </c>
      <c r="C1309" s="270" t="s">
        <v>1251</v>
      </c>
      <c r="D1309" s="101">
        <v>2.0</v>
      </c>
      <c r="E1309" s="24">
        <f t="shared" si="453"/>
        <v>45960</v>
      </c>
      <c r="F1309" s="22">
        <f t="shared" si="40"/>
        <v>45962</v>
      </c>
      <c r="G1309" s="31">
        <f t="shared" si="454"/>
        <v>1307</v>
      </c>
      <c r="H1309" s="115" t="s">
        <v>1221</v>
      </c>
    </row>
    <row r="1310" ht="18.75" customHeight="1">
      <c r="A1310" s="123"/>
      <c r="B1310" s="99">
        <f t="shared" si="2"/>
        <v>1309</v>
      </c>
      <c r="C1310" s="270" t="s">
        <v>1252</v>
      </c>
      <c r="D1310" s="108">
        <v>1.0</v>
      </c>
      <c r="E1310" s="24">
        <f t="shared" si="453"/>
        <v>45962</v>
      </c>
      <c r="F1310" s="22">
        <f t="shared" si="40"/>
        <v>45963</v>
      </c>
      <c r="G1310" s="31">
        <f t="shared" si="454"/>
        <v>1308</v>
      </c>
      <c r="H1310" s="110" t="s">
        <v>1223</v>
      </c>
    </row>
    <row r="1311" ht="18.75" customHeight="1">
      <c r="A1311" s="284" t="s">
        <v>1236</v>
      </c>
      <c r="B1311" s="99">
        <f t="shared" si="2"/>
        <v>1310</v>
      </c>
      <c r="C1311" s="29" t="s">
        <v>1253</v>
      </c>
      <c r="D1311" s="101">
        <v>1.0</v>
      </c>
      <c r="E1311" s="24">
        <f>F1226</f>
        <v>45958</v>
      </c>
      <c r="F1311" s="22">
        <f t="shared" si="40"/>
        <v>45959</v>
      </c>
      <c r="G1311" s="142">
        <f>B1226</f>
        <v>1225</v>
      </c>
      <c r="H1311" s="316" t="s">
        <v>10</v>
      </c>
    </row>
    <row r="1312" ht="18.75" customHeight="1">
      <c r="A1312" s="284" t="s">
        <v>1117</v>
      </c>
      <c r="B1312" s="99">
        <f t="shared" si="2"/>
        <v>1311</v>
      </c>
      <c r="C1312" s="29" t="s">
        <v>1254</v>
      </c>
      <c r="D1312" s="106">
        <v>1.0</v>
      </c>
      <c r="E1312" s="24">
        <f t="shared" ref="E1312:E1314" si="455">F1311</f>
        <v>45959</v>
      </c>
      <c r="F1312" s="22">
        <f t="shared" si="40"/>
        <v>45960</v>
      </c>
      <c r="G1312" s="31">
        <f t="shared" ref="G1312:G1314" si="456">B1311</f>
        <v>1310</v>
      </c>
      <c r="H1312" s="101" t="s">
        <v>23</v>
      </c>
    </row>
    <row r="1313" ht="18.75" customHeight="1">
      <c r="A1313" s="326" t="s">
        <v>1255</v>
      </c>
      <c r="B1313" s="99">
        <f t="shared" si="2"/>
        <v>1312</v>
      </c>
      <c r="C1313" s="29" t="s">
        <v>1256</v>
      </c>
      <c r="D1313" s="101">
        <v>2.0</v>
      </c>
      <c r="E1313" s="24">
        <f t="shared" si="455"/>
        <v>45960</v>
      </c>
      <c r="F1313" s="22">
        <f t="shared" si="40"/>
        <v>45962</v>
      </c>
      <c r="G1313" s="31">
        <f t="shared" si="456"/>
        <v>1311</v>
      </c>
      <c r="H1313" s="115" t="s">
        <v>1221</v>
      </c>
    </row>
    <row r="1314" ht="18.75" customHeight="1">
      <c r="A1314" s="327"/>
      <c r="B1314" s="99">
        <f t="shared" si="2"/>
        <v>1313</v>
      </c>
      <c r="C1314" s="29" t="s">
        <v>1257</v>
      </c>
      <c r="D1314" s="108">
        <v>1.0</v>
      </c>
      <c r="E1314" s="24">
        <f t="shared" si="455"/>
        <v>45962</v>
      </c>
      <c r="F1314" s="22">
        <f t="shared" si="40"/>
        <v>45963</v>
      </c>
      <c r="G1314" s="31">
        <f t="shared" si="456"/>
        <v>1312</v>
      </c>
      <c r="H1314" s="110" t="s">
        <v>1223</v>
      </c>
    </row>
    <row r="1315" ht="18.75" customHeight="1">
      <c r="A1315" s="327"/>
      <c r="B1315" s="99">
        <f t="shared" si="2"/>
        <v>1314</v>
      </c>
      <c r="C1315" s="321" t="s">
        <v>1258</v>
      </c>
      <c r="D1315" s="101">
        <v>1.0</v>
      </c>
      <c r="E1315" s="24">
        <f>F1226</f>
        <v>45958</v>
      </c>
      <c r="F1315" s="22">
        <f t="shared" si="40"/>
        <v>45959</v>
      </c>
      <c r="G1315" s="142">
        <f>B1226</f>
        <v>1225</v>
      </c>
      <c r="H1315" s="316" t="s">
        <v>10</v>
      </c>
    </row>
    <row r="1316" ht="18.75" customHeight="1">
      <c r="A1316" s="327"/>
      <c r="B1316" s="99">
        <f t="shared" si="2"/>
        <v>1315</v>
      </c>
      <c r="C1316" s="321" t="s">
        <v>1259</v>
      </c>
      <c r="D1316" s="106">
        <v>1.0</v>
      </c>
      <c r="E1316" s="24">
        <f t="shared" ref="E1316:E1318" si="457">F1315</f>
        <v>45959</v>
      </c>
      <c r="F1316" s="22">
        <f t="shared" si="40"/>
        <v>45960</v>
      </c>
      <c r="G1316" s="31">
        <f t="shared" ref="G1316:G1318" si="458">B1315</f>
        <v>1314</v>
      </c>
      <c r="H1316" s="101" t="s">
        <v>23</v>
      </c>
    </row>
    <row r="1317" ht="18.75" customHeight="1">
      <c r="A1317" s="327"/>
      <c r="B1317" s="99">
        <f t="shared" si="2"/>
        <v>1316</v>
      </c>
      <c r="C1317" s="321" t="s">
        <v>1260</v>
      </c>
      <c r="D1317" s="101">
        <v>2.0</v>
      </c>
      <c r="E1317" s="24">
        <f t="shared" si="457"/>
        <v>45960</v>
      </c>
      <c r="F1317" s="22">
        <f t="shared" si="40"/>
        <v>45962</v>
      </c>
      <c r="G1317" s="31">
        <f t="shared" si="458"/>
        <v>1315</v>
      </c>
      <c r="H1317" s="115" t="s">
        <v>1221</v>
      </c>
    </row>
    <row r="1318" ht="18.75" customHeight="1">
      <c r="A1318" s="327"/>
      <c r="B1318" s="99">
        <f t="shared" si="2"/>
        <v>1317</v>
      </c>
      <c r="C1318" s="321" t="s">
        <v>1261</v>
      </c>
      <c r="D1318" s="108">
        <v>1.0</v>
      </c>
      <c r="E1318" s="24">
        <f t="shared" si="457"/>
        <v>45962</v>
      </c>
      <c r="F1318" s="22">
        <f t="shared" si="40"/>
        <v>45963</v>
      </c>
      <c r="G1318" s="31">
        <f t="shared" si="458"/>
        <v>1316</v>
      </c>
      <c r="H1318" s="110" t="s">
        <v>1223</v>
      </c>
    </row>
    <row r="1319" ht="18.75" customHeight="1">
      <c r="A1319" s="327"/>
      <c r="B1319" s="99">
        <f t="shared" si="2"/>
        <v>1318</v>
      </c>
      <c r="C1319" s="29" t="s">
        <v>1262</v>
      </c>
      <c r="D1319" s="101">
        <v>1.0</v>
      </c>
      <c r="E1319" s="24">
        <f>F1226</f>
        <v>45958</v>
      </c>
      <c r="F1319" s="22">
        <f t="shared" si="40"/>
        <v>45959</v>
      </c>
      <c r="G1319" s="142">
        <f>B1226</f>
        <v>1225</v>
      </c>
      <c r="H1319" s="316" t="s">
        <v>10</v>
      </c>
    </row>
    <row r="1320" ht="18.75" customHeight="1">
      <c r="A1320" s="327"/>
      <c r="B1320" s="99">
        <f t="shared" si="2"/>
        <v>1319</v>
      </c>
      <c r="C1320" s="29" t="s">
        <v>1263</v>
      </c>
      <c r="D1320" s="106">
        <v>1.0</v>
      </c>
      <c r="E1320" s="24">
        <f t="shared" ref="E1320:E1322" si="459">F1319</f>
        <v>45959</v>
      </c>
      <c r="F1320" s="22">
        <f t="shared" si="40"/>
        <v>45960</v>
      </c>
      <c r="G1320" s="31">
        <f t="shared" ref="G1320:G1322" si="460">B1319</f>
        <v>1318</v>
      </c>
      <c r="H1320" s="101" t="s">
        <v>23</v>
      </c>
    </row>
    <row r="1321" ht="18.75" customHeight="1">
      <c r="A1321" s="327"/>
      <c r="B1321" s="99">
        <f t="shared" si="2"/>
        <v>1320</v>
      </c>
      <c r="C1321" s="29" t="s">
        <v>1264</v>
      </c>
      <c r="D1321" s="101">
        <v>2.0</v>
      </c>
      <c r="E1321" s="24">
        <f t="shared" si="459"/>
        <v>45960</v>
      </c>
      <c r="F1321" s="22">
        <f t="shared" si="40"/>
        <v>45962</v>
      </c>
      <c r="G1321" s="31">
        <f t="shared" si="460"/>
        <v>1319</v>
      </c>
      <c r="H1321" s="115" t="s">
        <v>1221</v>
      </c>
    </row>
    <row r="1322" ht="18.75" customHeight="1">
      <c r="A1322" s="327"/>
      <c r="B1322" s="99">
        <f t="shared" si="2"/>
        <v>1321</v>
      </c>
      <c r="C1322" s="29" t="s">
        <v>1265</v>
      </c>
      <c r="D1322" s="108">
        <v>1.0</v>
      </c>
      <c r="E1322" s="24">
        <f t="shared" si="459"/>
        <v>45962</v>
      </c>
      <c r="F1322" s="22">
        <f t="shared" si="40"/>
        <v>45963</v>
      </c>
      <c r="G1322" s="31">
        <f t="shared" si="460"/>
        <v>1320</v>
      </c>
      <c r="H1322" s="110" t="s">
        <v>1223</v>
      </c>
    </row>
    <row r="1323" ht="18.75" customHeight="1">
      <c r="A1323" s="327"/>
      <c r="B1323" s="99">
        <f t="shared" si="2"/>
        <v>1322</v>
      </c>
      <c r="C1323" s="321" t="s">
        <v>1266</v>
      </c>
      <c r="D1323" s="101">
        <v>1.0</v>
      </c>
      <c r="E1323" s="24">
        <f>F1226</f>
        <v>45958</v>
      </c>
      <c r="F1323" s="22">
        <f t="shared" si="40"/>
        <v>45959</v>
      </c>
      <c r="G1323" s="142">
        <f>B1226</f>
        <v>1225</v>
      </c>
      <c r="H1323" s="316" t="s">
        <v>10</v>
      </c>
    </row>
    <row r="1324" ht="18.75" customHeight="1">
      <c r="A1324" s="327"/>
      <c r="B1324" s="99">
        <f t="shared" si="2"/>
        <v>1323</v>
      </c>
      <c r="C1324" s="321" t="s">
        <v>1267</v>
      </c>
      <c r="D1324" s="106">
        <v>1.0</v>
      </c>
      <c r="E1324" s="24">
        <f t="shared" ref="E1324:E1326" si="461">F1323</f>
        <v>45959</v>
      </c>
      <c r="F1324" s="22">
        <f t="shared" si="40"/>
        <v>45960</v>
      </c>
      <c r="G1324" s="31">
        <f t="shared" ref="G1324:G1326" si="462">B1323</f>
        <v>1322</v>
      </c>
      <c r="H1324" s="101" t="s">
        <v>23</v>
      </c>
    </row>
    <row r="1325" ht="18.75" customHeight="1">
      <c r="A1325" s="327"/>
      <c r="B1325" s="99">
        <f t="shared" si="2"/>
        <v>1324</v>
      </c>
      <c r="C1325" s="321" t="s">
        <v>1268</v>
      </c>
      <c r="D1325" s="101">
        <v>2.0</v>
      </c>
      <c r="E1325" s="24">
        <f t="shared" si="461"/>
        <v>45960</v>
      </c>
      <c r="F1325" s="22">
        <f t="shared" si="40"/>
        <v>45962</v>
      </c>
      <c r="G1325" s="31">
        <f t="shared" si="462"/>
        <v>1323</v>
      </c>
      <c r="H1325" s="115" t="s">
        <v>1221</v>
      </c>
    </row>
    <row r="1326" ht="18.75" customHeight="1">
      <c r="A1326" s="327"/>
      <c r="B1326" s="99">
        <f t="shared" si="2"/>
        <v>1325</v>
      </c>
      <c r="C1326" s="321" t="s">
        <v>1269</v>
      </c>
      <c r="D1326" s="108">
        <v>1.0</v>
      </c>
      <c r="E1326" s="24">
        <f t="shared" si="461"/>
        <v>45962</v>
      </c>
      <c r="F1326" s="22">
        <f t="shared" si="40"/>
        <v>45963</v>
      </c>
      <c r="G1326" s="31">
        <f t="shared" si="462"/>
        <v>1324</v>
      </c>
      <c r="H1326" s="110" t="s">
        <v>1223</v>
      </c>
    </row>
    <row r="1327" ht="18.75" customHeight="1">
      <c r="A1327" s="75" t="s">
        <v>1236</v>
      </c>
      <c r="B1327" s="99">
        <f t="shared" si="2"/>
        <v>1326</v>
      </c>
      <c r="C1327" s="78" t="s">
        <v>1270</v>
      </c>
      <c r="D1327" s="101">
        <v>1.0</v>
      </c>
      <c r="E1327" s="24">
        <f>F1226</f>
        <v>45958</v>
      </c>
      <c r="F1327" s="22">
        <f t="shared" si="40"/>
        <v>45959</v>
      </c>
      <c r="G1327" s="142">
        <f>B1226</f>
        <v>1225</v>
      </c>
      <c r="H1327" s="316" t="s">
        <v>10</v>
      </c>
    </row>
    <row r="1328" ht="18.75" customHeight="1">
      <c r="A1328" s="220" t="s">
        <v>1132</v>
      </c>
      <c r="B1328" s="99">
        <f t="shared" si="2"/>
        <v>1327</v>
      </c>
      <c r="C1328" s="78" t="s">
        <v>1271</v>
      </c>
      <c r="D1328" s="106">
        <v>1.0</v>
      </c>
      <c r="E1328" s="24">
        <f t="shared" ref="E1328:E1330" si="463">F1327</f>
        <v>45959</v>
      </c>
      <c r="F1328" s="22">
        <f t="shared" si="40"/>
        <v>45960</v>
      </c>
      <c r="G1328" s="31">
        <f t="shared" ref="G1328:G1330" si="464">B1327</f>
        <v>1326</v>
      </c>
      <c r="H1328" s="101" t="s">
        <v>23</v>
      </c>
    </row>
    <row r="1329" ht="18.75" customHeight="1">
      <c r="A1329" s="151"/>
      <c r="B1329" s="99">
        <f t="shared" si="2"/>
        <v>1328</v>
      </c>
      <c r="C1329" s="78" t="s">
        <v>1272</v>
      </c>
      <c r="D1329" s="101">
        <v>2.0</v>
      </c>
      <c r="E1329" s="24">
        <f t="shared" si="463"/>
        <v>45960</v>
      </c>
      <c r="F1329" s="22">
        <f t="shared" si="40"/>
        <v>45962</v>
      </c>
      <c r="G1329" s="31">
        <f t="shared" si="464"/>
        <v>1327</v>
      </c>
      <c r="H1329" s="115" t="s">
        <v>1221</v>
      </c>
    </row>
    <row r="1330" ht="18.75" customHeight="1">
      <c r="A1330" s="151"/>
      <c r="B1330" s="99">
        <f t="shared" si="2"/>
        <v>1329</v>
      </c>
      <c r="C1330" s="78" t="s">
        <v>1273</v>
      </c>
      <c r="D1330" s="108">
        <v>1.0</v>
      </c>
      <c r="E1330" s="24">
        <f t="shared" si="463"/>
        <v>45962</v>
      </c>
      <c r="F1330" s="22">
        <f t="shared" si="40"/>
        <v>45963</v>
      </c>
      <c r="G1330" s="31">
        <f t="shared" si="464"/>
        <v>1328</v>
      </c>
      <c r="H1330" s="110" t="s">
        <v>1223</v>
      </c>
    </row>
    <row r="1331" ht="18.75" customHeight="1">
      <c r="A1331" s="151"/>
      <c r="B1331" s="99">
        <f t="shared" si="2"/>
        <v>1330</v>
      </c>
      <c r="C1331" s="323" t="s">
        <v>1274</v>
      </c>
      <c r="D1331" s="101">
        <v>1.0</v>
      </c>
      <c r="E1331" s="24">
        <f>F1226</f>
        <v>45958</v>
      </c>
      <c r="F1331" s="22">
        <f t="shared" si="40"/>
        <v>45959</v>
      </c>
      <c r="G1331" s="142">
        <f>B1226</f>
        <v>1225</v>
      </c>
      <c r="H1331" s="316" t="s">
        <v>10</v>
      </c>
    </row>
    <row r="1332" ht="18.75" customHeight="1">
      <c r="A1332" s="151"/>
      <c r="B1332" s="99">
        <f t="shared" si="2"/>
        <v>1331</v>
      </c>
      <c r="C1332" s="323" t="s">
        <v>1275</v>
      </c>
      <c r="D1332" s="106">
        <v>1.0</v>
      </c>
      <c r="E1332" s="24">
        <f t="shared" ref="E1332:E1334" si="465">F1331</f>
        <v>45959</v>
      </c>
      <c r="F1332" s="22">
        <f t="shared" si="40"/>
        <v>45960</v>
      </c>
      <c r="G1332" s="31">
        <f t="shared" ref="G1332:G1334" si="466">B1331</f>
        <v>1330</v>
      </c>
      <c r="H1332" s="101" t="s">
        <v>23</v>
      </c>
    </row>
    <row r="1333" ht="18.75" customHeight="1">
      <c r="A1333" s="151"/>
      <c r="B1333" s="99">
        <f t="shared" si="2"/>
        <v>1332</v>
      </c>
      <c r="C1333" s="323" t="s">
        <v>1276</v>
      </c>
      <c r="D1333" s="101">
        <v>2.0</v>
      </c>
      <c r="E1333" s="24">
        <f t="shared" si="465"/>
        <v>45960</v>
      </c>
      <c r="F1333" s="22">
        <f t="shared" si="40"/>
        <v>45962</v>
      </c>
      <c r="G1333" s="31">
        <f t="shared" si="466"/>
        <v>1331</v>
      </c>
      <c r="H1333" s="115" t="s">
        <v>1221</v>
      </c>
    </row>
    <row r="1334" ht="18.75" customHeight="1">
      <c r="A1334" s="151"/>
      <c r="B1334" s="99">
        <f t="shared" si="2"/>
        <v>1333</v>
      </c>
      <c r="C1334" s="323" t="s">
        <v>1277</v>
      </c>
      <c r="D1334" s="108">
        <v>1.0</v>
      </c>
      <c r="E1334" s="24">
        <f t="shared" si="465"/>
        <v>45962</v>
      </c>
      <c r="F1334" s="22">
        <f t="shared" si="40"/>
        <v>45963</v>
      </c>
      <c r="G1334" s="31">
        <f t="shared" si="466"/>
        <v>1332</v>
      </c>
      <c r="H1334" s="110" t="s">
        <v>1223</v>
      </c>
    </row>
    <row r="1335" ht="18.75" customHeight="1">
      <c r="A1335" s="151"/>
      <c r="B1335" s="99">
        <f t="shared" si="2"/>
        <v>1334</v>
      </c>
      <c r="C1335" s="78" t="s">
        <v>1278</v>
      </c>
      <c r="D1335" s="101">
        <v>1.0</v>
      </c>
      <c r="E1335" s="24">
        <f>F1226</f>
        <v>45958</v>
      </c>
      <c r="F1335" s="22">
        <f t="shared" si="40"/>
        <v>45959</v>
      </c>
      <c r="G1335" s="142">
        <f>B1226</f>
        <v>1225</v>
      </c>
      <c r="H1335" s="316" t="s">
        <v>10</v>
      </c>
    </row>
    <row r="1336" ht="18.75" customHeight="1">
      <c r="A1336" s="151"/>
      <c r="B1336" s="99">
        <f t="shared" si="2"/>
        <v>1335</v>
      </c>
      <c r="C1336" s="78" t="s">
        <v>1279</v>
      </c>
      <c r="D1336" s="106">
        <v>1.0</v>
      </c>
      <c r="E1336" s="24">
        <f t="shared" ref="E1336:E1338" si="467">F1335</f>
        <v>45959</v>
      </c>
      <c r="F1336" s="22">
        <f t="shared" si="40"/>
        <v>45960</v>
      </c>
      <c r="G1336" s="31">
        <f t="shared" ref="G1336:G1338" si="468">B1335</f>
        <v>1334</v>
      </c>
      <c r="H1336" s="101" t="s">
        <v>23</v>
      </c>
    </row>
    <row r="1337" ht="18.75" customHeight="1">
      <c r="A1337" s="151"/>
      <c r="B1337" s="99">
        <f t="shared" si="2"/>
        <v>1336</v>
      </c>
      <c r="C1337" s="78" t="s">
        <v>1280</v>
      </c>
      <c r="D1337" s="101">
        <v>2.0</v>
      </c>
      <c r="E1337" s="24">
        <f t="shared" si="467"/>
        <v>45960</v>
      </c>
      <c r="F1337" s="22">
        <f t="shared" si="40"/>
        <v>45962</v>
      </c>
      <c r="G1337" s="31">
        <f t="shared" si="468"/>
        <v>1335</v>
      </c>
      <c r="H1337" s="115" t="s">
        <v>1221</v>
      </c>
    </row>
    <row r="1338" ht="18.75" customHeight="1">
      <c r="A1338" s="151"/>
      <c r="B1338" s="99">
        <f t="shared" si="2"/>
        <v>1337</v>
      </c>
      <c r="C1338" s="78" t="s">
        <v>1281</v>
      </c>
      <c r="D1338" s="108">
        <v>1.0</v>
      </c>
      <c r="E1338" s="24">
        <f t="shared" si="467"/>
        <v>45962</v>
      </c>
      <c r="F1338" s="22">
        <f t="shared" si="40"/>
        <v>45963</v>
      </c>
      <c r="G1338" s="31">
        <f t="shared" si="468"/>
        <v>1336</v>
      </c>
      <c r="H1338" s="110" t="s">
        <v>1223</v>
      </c>
    </row>
    <row r="1339" ht="18.75" customHeight="1">
      <c r="A1339" s="151"/>
      <c r="B1339" s="99">
        <f t="shared" si="2"/>
        <v>1338</v>
      </c>
      <c r="C1339" s="323" t="s">
        <v>1282</v>
      </c>
      <c r="D1339" s="101">
        <v>1.0</v>
      </c>
      <c r="E1339" s="24">
        <f>F1226</f>
        <v>45958</v>
      </c>
      <c r="F1339" s="22">
        <f t="shared" si="40"/>
        <v>45959</v>
      </c>
      <c r="G1339" s="142">
        <f>B1226</f>
        <v>1225</v>
      </c>
      <c r="H1339" s="316" t="s">
        <v>10</v>
      </c>
    </row>
    <row r="1340" ht="18.75" customHeight="1">
      <c r="A1340" s="151"/>
      <c r="B1340" s="99">
        <f t="shared" si="2"/>
        <v>1339</v>
      </c>
      <c r="C1340" s="323" t="s">
        <v>1283</v>
      </c>
      <c r="D1340" s="106">
        <v>1.0</v>
      </c>
      <c r="E1340" s="24">
        <f t="shared" ref="E1340:E1342" si="469">F1339</f>
        <v>45959</v>
      </c>
      <c r="F1340" s="308">
        <f t="shared" si="40"/>
        <v>45960</v>
      </c>
      <c r="G1340" s="31">
        <f t="shared" ref="G1340:G1342" si="470">B1339</f>
        <v>1338</v>
      </c>
      <c r="H1340" s="101" t="s">
        <v>23</v>
      </c>
    </row>
    <row r="1341" ht="18.75" customHeight="1">
      <c r="A1341" s="151"/>
      <c r="B1341" s="99">
        <f t="shared" si="2"/>
        <v>1340</v>
      </c>
      <c r="C1341" s="323" t="s">
        <v>1284</v>
      </c>
      <c r="D1341" s="101">
        <v>2.0</v>
      </c>
      <c r="E1341" s="24">
        <f t="shared" si="469"/>
        <v>45960</v>
      </c>
      <c r="F1341" s="308">
        <f t="shared" si="40"/>
        <v>45962</v>
      </c>
      <c r="G1341" s="31">
        <f t="shared" si="470"/>
        <v>1339</v>
      </c>
      <c r="H1341" s="115" t="s">
        <v>1221</v>
      </c>
    </row>
    <row r="1342" ht="18.75" customHeight="1">
      <c r="A1342" s="151"/>
      <c r="B1342" s="99">
        <f t="shared" si="2"/>
        <v>1341</v>
      </c>
      <c r="C1342" s="323" t="s">
        <v>1285</v>
      </c>
      <c r="D1342" s="108">
        <v>1.0</v>
      </c>
      <c r="E1342" s="24">
        <f t="shared" si="469"/>
        <v>45962</v>
      </c>
      <c r="F1342" s="308">
        <f t="shared" si="40"/>
        <v>45963</v>
      </c>
      <c r="G1342" s="31">
        <f t="shared" si="470"/>
        <v>1340</v>
      </c>
      <c r="H1342" s="110" t="s">
        <v>1223</v>
      </c>
    </row>
    <row r="1343" ht="18.75" customHeight="1">
      <c r="A1343" s="97" t="s">
        <v>1286</v>
      </c>
      <c r="B1343" s="99">
        <f t="shared" si="2"/>
        <v>1342</v>
      </c>
      <c r="C1343" s="42" t="s">
        <v>1287</v>
      </c>
      <c r="D1343" s="101">
        <v>1.0</v>
      </c>
      <c r="E1343" s="24">
        <f>F1230</f>
        <v>45966</v>
      </c>
      <c r="F1343" s="91">
        <f t="shared" si="40"/>
        <v>45967</v>
      </c>
      <c r="G1343" s="31" t="str">
        <f>B1230&amp; "-" &amp;B1270&amp; "-" &amp;B1282</f>
        <v>1229-1269-1281</v>
      </c>
      <c r="H1343" s="316" t="s">
        <v>10</v>
      </c>
    </row>
    <row r="1344" ht="18.75" customHeight="1">
      <c r="A1344" s="41" t="s">
        <v>1288</v>
      </c>
      <c r="B1344" s="99">
        <f t="shared" si="2"/>
        <v>1343</v>
      </c>
      <c r="C1344" s="42" t="s">
        <v>1289</v>
      </c>
      <c r="D1344" s="106">
        <v>1.0</v>
      </c>
      <c r="E1344" s="24">
        <f t="shared" ref="E1344:E1346" si="471">F1343</f>
        <v>45967</v>
      </c>
      <c r="F1344" s="22">
        <f t="shared" si="40"/>
        <v>45968</v>
      </c>
      <c r="G1344" s="31">
        <f t="shared" ref="G1344:G1346" si="472">B1343</f>
        <v>1342</v>
      </c>
      <c r="H1344" s="101" t="s">
        <v>23</v>
      </c>
    </row>
    <row r="1345" ht="18.75" customHeight="1">
      <c r="A1345" s="179"/>
      <c r="B1345" s="99">
        <f t="shared" si="2"/>
        <v>1344</v>
      </c>
      <c r="C1345" s="42" t="s">
        <v>1290</v>
      </c>
      <c r="D1345" s="101">
        <v>2.0</v>
      </c>
      <c r="E1345" s="24">
        <f t="shared" si="471"/>
        <v>45968</v>
      </c>
      <c r="F1345" s="24">
        <f t="shared" si="40"/>
        <v>45970</v>
      </c>
      <c r="G1345" s="31">
        <f t="shared" si="472"/>
        <v>1343</v>
      </c>
      <c r="H1345" s="106" t="s">
        <v>23</v>
      </c>
    </row>
    <row r="1346" ht="18.75" customHeight="1">
      <c r="A1346" s="179"/>
      <c r="B1346" s="99">
        <f t="shared" si="2"/>
        <v>1345</v>
      </c>
      <c r="C1346" s="42" t="s">
        <v>1291</v>
      </c>
      <c r="D1346" s="108">
        <v>1.0</v>
      </c>
      <c r="E1346" s="24">
        <f t="shared" si="471"/>
        <v>45970</v>
      </c>
      <c r="F1346" s="22">
        <f t="shared" si="40"/>
        <v>45971</v>
      </c>
      <c r="G1346" s="31">
        <f t="shared" si="472"/>
        <v>1344</v>
      </c>
      <c r="H1346" s="101" t="s">
        <v>49</v>
      </c>
    </row>
    <row r="1347" ht="18.75" customHeight="1">
      <c r="A1347" s="179"/>
      <c r="B1347" s="99">
        <f t="shared" si="2"/>
        <v>1346</v>
      </c>
      <c r="C1347" s="242" t="s">
        <v>1292</v>
      </c>
      <c r="D1347" s="101">
        <v>1.0</v>
      </c>
      <c r="E1347" s="24">
        <f>F1238</f>
        <v>45966</v>
      </c>
      <c r="F1347" s="91">
        <f t="shared" si="40"/>
        <v>45967</v>
      </c>
      <c r="G1347" s="31" t="str">
        <f>B1234&amp; "-" &amp;B1238&amp; "-" &amp;B1270&amp; "-" &amp;B1286</f>
        <v>1233-1237-1269-1285</v>
      </c>
      <c r="H1347" s="316" t="s">
        <v>10</v>
      </c>
    </row>
    <row r="1348" ht="18.75" customHeight="1">
      <c r="A1348" s="179"/>
      <c r="B1348" s="99">
        <f t="shared" si="2"/>
        <v>1347</v>
      </c>
      <c r="C1348" s="242" t="s">
        <v>1293</v>
      </c>
      <c r="D1348" s="106">
        <v>1.0</v>
      </c>
      <c r="E1348" s="24">
        <f t="shared" ref="E1348:E1350" si="473">F1347</f>
        <v>45967</v>
      </c>
      <c r="F1348" s="22">
        <f t="shared" si="40"/>
        <v>45968</v>
      </c>
      <c r="G1348" s="31">
        <f t="shared" ref="G1348:G1350" si="474">B1347</f>
        <v>1346</v>
      </c>
      <c r="H1348" s="101" t="s">
        <v>23</v>
      </c>
    </row>
    <row r="1349" ht="18.75" customHeight="1">
      <c r="A1349" s="179"/>
      <c r="B1349" s="99">
        <f t="shared" si="2"/>
        <v>1348</v>
      </c>
      <c r="C1349" s="242" t="s">
        <v>1294</v>
      </c>
      <c r="D1349" s="101">
        <v>2.0</v>
      </c>
      <c r="E1349" s="24">
        <f t="shared" si="473"/>
        <v>45968</v>
      </c>
      <c r="F1349" s="24">
        <f t="shared" si="40"/>
        <v>45970</v>
      </c>
      <c r="G1349" s="31">
        <f t="shared" si="474"/>
        <v>1347</v>
      </c>
      <c r="H1349" s="106" t="s">
        <v>23</v>
      </c>
    </row>
    <row r="1350" ht="18.75" customHeight="1">
      <c r="A1350" s="179"/>
      <c r="B1350" s="104">
        <f t="shared" si="2"/>
        <v>1349</v>
      </c>
      <c r="C1350" s="242" t="s">
        <v>1295</v>
      </c>
      <c r="D1350" s="108">
        <v>1.0</v>
      </c>
      <c r="E1350" s="24">
        <f t="shared" si="473"/>
        <v>45970</v>
      </c>
      <c r="F1350" s="22">
        <f t="shared" si="40"/>
        <v>45971</v>
      </c>
      <c r="G1350" s="31">
        <f t="shared" si="474"/>
        <v>1348</v>
      </c>
      <c r="H1350" s="101" t="s">
        <v>49</v>
      </c>
    </row>
    <row r="1351" ht="18.75" customHeight="1">
      <c r="A1351" s="179"/>
      <c r="B1351" s="99">
        <f t="shared" si="2"/>
        <v>1350</v>
      </c>
      <c r="C1351" s="42" t="s">
        <v>1296</v>
      </c>
      <c r="D1351" s="101">
        <v>1.0</v>
      </c>
      <c r="E1351" s="24">
        <f>F1246</f>
        <v>45966</v>
      </c>
      <c r="F1351" s="91">
        <f t="shared" si="40"/>
        <v>45967</v>
      </c>
      <c r="G1351" s="31" t="str">
        <f>B1242&amp; "-" &amp;B1246&amp; "-" &amp;B1274&amp; "-" &amp;B1290</f>
        <v>1241-1245-1273-1289</v>
      </c>
      <c r="H1351" s="316" t="s">
        <v>10</v>
      </c>
    </row>
    <row r="1352" ht="18.75" customHeight="1">
      <c r="A1352" s="179"/>
      <c r="B1352" s="104">
        <f t="shared" si="2"/>
        <v>1351</v>
      </c>
      <c r="C1352" s="42" t="s">
        <v>1297</v>
      </c>
      <c r="D1352" s="106">
        <v>1.0</v>
      </c>
      <c r="E1352" s="24">
        <f t="shared" ref="E1352:E1354" si="475">F1351</f>
        <v>45967</v>
      </c>
      <c r="F1352" s="22">
        <f t="shared" si="40"/>
        <v>45968</v>
      </c>
      <c r="G1352" s="31">
        <f t="shared" ref="G1352:G1354" si="476">B1351</f>
        <v>1350</v>
      </c>
      <c r="H1352" s="101" t="s">
        <v>23</v>
      </c>
    </row>
    <row r="1353" ht="18.75" customHeight="1">
      <c r="A1353" s="179"/>
      <c r="B1353" s="99">
        <f t="shared" si="2"/>
        <v>1352</v>
      </c>
      <c r="C1353" s="42" t="s">
        <v>1298</v>
      </c>
      <c r="D1353" s="101">
        <v>2.0</v>
      </c>
      <c r="E1353" s="24">
        <f t="shared" si="475"/>
        <v>45968</v>
      </c>
      <c r="F1353" s="24">
        <f t="shared" si="40"/>
        <v>45970</v>
      </c>
      <c r="G1353" s="31">
        <f t="shared" si="476"/>
        <v>1351</v>
      </c>
      <c r="H1353" s="106" t="s">
        <v>23</v>
      </c>
    </row>
    <row r="1354" ht="18.75" customHeight="1">
      <c r="A1354" s="179"/>
      <c r="B1354" s="104">
        <f t="shared" si="2"/>
        <v>1353</v>
      </c>
      <c r="C1354" s="42" t="s">
        <v>1299</v>
      </c>
      <c r="D1354" s="108">
        <v>1.0</v>
      </c>
      <c r="E1354" s="24">
        <f t="shared" si="475"/>
        <v>45970</v>
      </c>
      <c r="F1354" s="22">
        <f t="shared" si="40"/>
        <v>45971</v>
      </c>
      <c r="G1354" s="31">
        <f t="shared" si="476"/>
        <v>1352</v>
      </c>
      <c r="H1354" s="101" t="s">
        <v>49</v>
      </c>
    </row>
    <row r="1355" ht="18.75" customHeight="1">
      <c r="A1355" s="179"/>
      <c r="B1355" s="99">
        <f t="shared" si="2"/>
        <v>1354</v>
      </c>
      <c r="C1355" s="242" t="s">
        <v>1300</v>
      </c>
      <c r="D1355" s="101">
        <v>1.0</v>
      </c>
      <c r="E1355" s="24">
        <f>F1254</f>
        <v>45966</v>
      </c>
      <c r="F1355" s="91">
        <f t="shared" si="40"/>
        <v>45967</v>
      </c>
      <c r="G1355" s="31" t="str">
        <f>B1250&amp; "-" &amp;B1254&amp; "-" &amp;B1278&amp; "-" &amp;B1294</f>
        <v>1249-1253-1277-1293</v>
      </c>
      <c r="H1355" s="316" t="s">
        <v>10</v>
      </c>
    </row>
    <row r="1356" ht="18.75" customHeight="1">
      <c r="A1356" s="179"/>
      <c r="B1356" s="104">
        <f t="shared" si="2"/>
        <v>1355</v>
      </c>
      <c r="C1356" s="242" t="s">
        <v>1301</v>
      </c>
      <c r="D1356" s="106">
        <v>1.0</v>
      </c>
      <c r="E1356" s="24">
        <f t="shared" ref="E1356:E1358" si="477">F1355</f>
        <v>45967</v>
      </c>
      <c r="F1356" s="22">
        <f t="shared" si="40"/>
        <v>45968</v>
      </c>
      <c r="G1356" s="31">
        <f t="shared" ref="G1356:G1358" si="478">B1355</f>
        <v>1354</v>
      </c>
      <c r="H1356" s="101" t="s">
        <v>23</v>
      </c>
    </row>
    <row r="1357" ht="18.75" customHeight="1">
      <c r="A1357" s="179"/>
      <c r="B1357" s="99">
        <f t="shared" si="2"/>
        <v>1356</v>
      </c>
      <c r="C1357" s="242" t="s">
        <v>1302</v>
      </c>
      <c r="D1357" s="101">
        <v>2.0</v>
      </c>
      <c r="E1357" s="24">
        <f t="shared" si="477"/>
        <v>45968</v>
      </c>
      <c r="F1357" s="24">
        <f t="shared" si="40"/>
        <v>45970</v>
      </c>
      <c r="G1357" s="31">
        <f t="shared" si="478"/>
        <v>1355</v>
      </c>
      <c r="H1357" s="106" t="s">
        <v>23</v>
      </c>
    </row>
    <row r="1358" ht="18.75" customHeight="1">
      <c r="A1358" s="179"/>
      <c r="B1358" s="104">
        <f t="shared" si="2"/>
        <v>1357</v>
      </c>
      <c r="C1358" s="242" t="s">
        <v>1303</v>
      </c>
      <c r="D1358" s="108">
        <v>1.0</v>
      </c>
      <c r="E1358" s="24">
        <f t="shared" si="477"/>
        <v>45970</v>
      </c>
      <c r="F1358" s="22">
        <f t="shared" si="40"/>
        <v>45971</v>
      </c>
      <c r="G1358" s="31">
        <f t="shared" si="478"/>
        <v>1356</v>
      </c>
      <c r="H1358" s="101" t="s">
        <v>49</v>
      </c>
    </row>
    <row r="1359" ht="18.75" customHeight="1">
      <c r="A1359" s="4" t="s">
        <v>1304</v>
      </c>
      <c r="B1359" s="104">
        <f t="shared" si="2"/>
        <v>1358</v>
      </c>
      <c r="C1359" s="249" t="s">
        <v>1305</v>
      </c>
      <c r="D1359" s="101">
        <v>1.0</v>
      </c>
      <c r="E1359" s="24">
        <f>F1350</f>
        <v>45971</v>
      </c>
      <c r="F1359" s="22">
        <f t="shared" si="40"/>
        <v>45972</v>
      </c>
      <c r="G1359" s="142">
        <f>B1350</f>
        <v>1349</v>
      </c>
      <c r="H1359" s="316" t="s">
        <v>10</v>
      </c>
    </row>
    <row r="1360" ht="18.75" customHeight="1">
      <c r="A1360" s="225" t="s">
        <v>1306</v>
      </c>
      <c r="B1360" s="104">
        <f t="shared" si="2"/>
        <v>1359</v>
      </c>
      <c r="C1360" s="249" t="s">
        <v>1307</v>
      </c>
      <c r="D1360" s="106">
        <v>1.0</v>
      </c>
      <c r="E1360" s="24">
        <f t="shared" ref="E1360:E1362" si="479">F1359</f>
        <v>45972</v>
      </c>
      <c r="F1360" s="22">
        <f t="shared" si="40"/>
        <v>45973</v>
      </c>
      <c r="G1360" s="142">
        <f t="shared" ref="G1360:G1362" si="480">B1359</f>
        <v>1358</v>
      </c>
      <c r="H1360" s="101" t="s">
        <v>23</v>
      </c>
    </row>
    <row r="1361" ht="18.75" customHeight="1">
      <c r="A1361" s="225"/>
      <c r="B1361" s="104">
        <f t="shared" si="2"/>
        <v>1360</v>
      </c>
      <c r="C1361" s="249" t="s">
        <v>1308</v>
      </c>
      <c r="D1361" s="101">
        <v>2.0</v>
      </c>
      <c r="E1361" s="24">
        <f t="shared" si="479"/>
        <v>45973</v>
      </c>
      <c r="F1361" s="22">
        <f t="shared" si="40"/>
        <v>45975</v>
      </c>
      <c r="G1361" s="142">
        <f t="shared" si="480"/>
        <v>1359</v>
      </c>
      <c r="H1361" s="115" t="s">
        <v>1221</v>
      </c>
    </row>
    <row r="1362" ht="18.75" customHeight="1">
      <c r="A1362" s="225"/>
      <c r="B1362" s="104">
        <f t="shared" si="2"/>
        <v>1361</v>
      </c>
      <c r="C1362" s="249" t="s">
        <v>1309</v>
      </c>
      <c r="D1362" s="108">
        <v>1.0</v>
      </c>
      <c r="E1362" s="24">
        <f t="shared" si="479"/>
        <v>45975</v>
      </c>
      <c r="F1362" s="22">
        <f t="shared" si="40"/>
        <v>45976</v>
      </c>
      <c r="G1362" s="142">
        <f t="shared" si="480"/>
        <v>1360</v>
      </c>
      <c r="H1362" s="110" t="s">
        <v>1223</v>
      </c>
    </row>
    <row r="1363" ht="18.75" customHeight="1">
      <c r="A1363" s="225"/>
      <c r="B1363" s="104">
        <f t="shared" si="2"/>
        <v>1362</v>
      </c>
      <c r="C1363" s="328" t="s">
        <v>1310</v>
      </c>
      <c r="D1363" s="101">
        <v>1.0</v>
      </c>
      <c r="E1363" s="24">
        <f>F1354</f>
        <v>45971</v>
      </c>
      <c r="F1363" s="22">
        <f t="shared" si="40"/>
        <v>45972</v>
      </c>
      <c r="G1363" s="142">
        <f>B1354</f>
        <v>1353</v>
      </c>
      <c r="H1363" s="316" t="s">
        <v>10</v>
      </c>
    </row>
    <row r="1364" ht="18.75" customHeight="1">
      <c r="A1364" s="225"/>
      <c r="B1364" s="104">
        <f t="shared" si="2"/>
        <v>1363</v>
      </c>
      <c r="C1364" s="328" t="s">
        <v>1311</v>
      </c>
      <c r="D1364" s="106">
        <v>1.0</v>
      </c>
      <c r="E1364" s="24">
        <f t="shared" ref="E1364:E1366" si="481">F1363</f>
        <v>45972</v>
      </c>
      <c r="F1364" s="22">
        <f t="shared" si="40"/>
        <v>45973</v>
      </c>
      <c r="G1364" s="142">
        <f t="shared" ref="G1364:G1366" si="482">B1363</f>
        <v>1362</v>
      </c>
      <c r="H1364" s="101" t="s">
        <v>23</v>
      </c>
    </row>
    <row r="1365" ht="18.75" customHeight="1">
      <c r="A1365" s="225"/>
      <c r="B1365" s="104">
        <f t="shared" si="2"/>
        <v>1364</v>
      </c>
      <c r="C1365" s="328" t="s">
        <v>1312</v>
      </c>
      <c r="D1365" s="101">
        <v>2.0</v>
      </c>
      <c r="E1365" s="24">
        <f t="shared" si="481"/>
        <v>45973</v>
      </c>
      <c r="F1365" s="22">
        <f t="shared" si="40"/>
        <v>45975</v>
      </c>
      <c r="G1365" s="142">
        <f t="shared" si="482"/>
        <v>1363</v>
      </c>
      <c r="H1365" s="115" t="s">
        <v>1221</v>
      </c>
    </row>
    <row r="1366" ht="18.75" customHeight="1">
      <c r="A1366" s="225"/>
      <c r="B1366" s="104">
        <f t="shared" si="2"/>
        <v>1365</v>
      </c>
      <c r="C1366" s="328" t="s">
        <v>1313</v>
      </c>
      <c r="D1366" s="108">
        <v>1.0</v>
      </c>
      <c r="E1366" s="24">
        <f t="shared" si="481"/>
        <v>45975</v>
      </c>
      <c r="F1366" s="22">
        <f t="shared" si="40"/>
        <v>45976</v>
      </c>
      <c r="G1366" s="142">
        <f t="shared" si="482"/>
        <v>1364</v>
      </c>
      <c r="H1366" s="110" t="s">
        <v>1223</v>
      </c>
    </row>
    <row r="1367" ht="18.75" customHeight="1">
      <c r="A1367" s="226"/>
      <c r="B1367" s="104">
        <f t="shared" si="2"/>
        <v>1366</v>
      </c>
      <c r="C1367" s="249" t="s">
        <v>1314</v>
      </c>
      <c r="D1367" s="101">
        <v>1.0</v>
      </c>
      <c r="E1367" s="24">
        <f>F1358</f>
        <v>45971</v>
      </c>
      <c r="F1367" s="22">
        <f t="shared" si="40"/>
        <v>45972</v>
      </c>
      <c r="G1367" s="142">
        <f>B1358</f>
        <v>1357</v>
      </c>
      <c r="H1367" s="316" t="s">
        <v>10</v>
      </c>
    </row>
    <row r="1368" ht="18.75" customHeight="1">
      <c r="A1368" s="226"/>
      <c r="B1368" s="104">
        <f t="shared" si="2"/>
        <v>1367</v>
      </c>
      <c r="C1368" s="249" t="s">
        <v>1315</v>
      </c>
      <c r="D1368" s="106">
        <v>1.0</v>
      </c>
      <c r="E1368" s="24">
        <f t="shared" ref="E1368:E1370" si="483">F1367</f>
        <v>45972</v>
      </c>
      <c r="F1368" s="22">
        <f t="shared" si="40"/>
        <v>45973</v>
      </c>
      <c r="G1368" s="142">
        <f t="shared" ref="G1368:G1370" si="484">B1367</f>
        <v>1366</v>
      </c>
      <c r="H1368" s="101" t="s">
        <v>23</v>
      </c>
    </row>
    <row r="1369" ht="18.75" customHeight="1">
      <c r="A1369" s="226"/>
      <c r="B1369" s="104">
        <f t="shared" si="2"/>
        <v>1368</v>
      </c>
      <c r="C1369" s="249" t="s">
        <v>1316</v>
      </c>
      <c r="D1369" s="101">
        <v>2.0</v>
      </c>
      <c r="E1369" s="24">
        <f t="shared" si="483"/>
        <v>45973</v>
      </c>
      <c r="F1369" s="22">
        <f t="shared" si="40"/>
        <v>45975</v>
      </c>
      <c r="G1369" s="142">
        <f t="shared" si="484"/>
        <v>1367</v>
      </c>
      <c r="H1369" s="115" t="s">
        <v>1221</v>
      </c>
    </row>
    <row r="1370" ht="18.75" customHeight="1">
      <c r="A1370" s="329"/>
      <c r="B1370" s="104">
        <f t="shared" si="2"/>
        <v>1369</v>
      </c>
      <c r="C1370" s="249" t="s">
        <v>1317</v>
      </c>
      <c r="D1370" s="108">
        <v>1.0</v>
      </c>
      <c r="E1370" s="24">
        <f t="shared" si="483"/>
        <v>45975</v>
      </c>
      <c r="F1370" s="22">
        <f t="shared" si="40"/>
        <v>45976</v>
      </c>
      <c r="G1370" s="142">
        <f t="shared" si="484"/>
        <v>1368</v>
      </c>
      <c r="H1370" s="110" t="s">
        <v>1223</v>
      </c>
    </row>
    <row r="1371" ht="18.75" customHeight="1">
      <c r="A1371" s="210" t="s">
        <v>1318</v>
      </c>
      <c r="B1371" s="104">
        <f t="shared" si="2"/>
        <v>1370</v>
      </c>
      <c r="C1371" s="100" t="s">
        <v>1319</v>
      </c>
      <c r="D1371" s="279">
        <v>1.0</v>
      </c>
      <c r="E1371" s="24">
        <f>F1346</f>
        <v>45971</v>
      </c>
      <c r="F1371" s="330">
        <f t="shared" si="40"/>
        <v>45972</v>
      </c>
      <c r="G1371" s="31" t="str">
        <f>B1298&amp; "-" &amp;B1314&amp; "-" &amp;B1330&amp; "-" &amp;B1346</f>
        <v>1297-1313-1329-1345</v>
      </c>
      <c r="H1371" s="316" t="s">
        <v>10</v>
      </c>
    </row>
    <row r="1372" ht="18.75" customHeight="1">
      <c r="A1372" s="210" t="s">
        <v>1306</v>
      </c>
      <c r="B1372" s="104">
        <f t="shared" si="2"/>
        <v>1371</v>
      </c>
      <c r="C1372" s="100" t="s">
        <v>1320</v>
      </c>
      <c r="D1372" s="279">
        <v>1.0</v>
      </c>
      <c r="E1372" s="24">
        <f t="shared" ref="E1372:E1378" si="485">F1371</f>
        <v>45972</v>
      </c>
      <c r="F1372" s="330">
        <f t="shared" si="40"/>
        <v>45973</v>
      </c>
      <c r="G1372" s="331">
        <f t="shared" ref="G1372:G1378" si="486">B1371</f>
        <v>1370</v>
      </c>
      <c r="H1372" s="115" t="s">
        <v>1321</v>
      </c>
    </row>
    <row r="1373" ht="18.75" customHeight="1">
      <c r="A1373" s="210"/>
      <c r="B1373" s="104">
        <f t="shared" si="2"/>
        <v>1372</v>
      </c>
      <c r="C1373" s="100" t="s">
        <v>1322</v>
      </c>
      <c r="D1373" s="279">
        <v>2.0</v>
      </c>
      <c r="E1373" s="24">
        <f t="shared" si="485"/>
        <v>45973</v>
      </c>
      <c r="F1373" s="330">
        <f t="shared" si="40"/>
        <v>45975</v>
      </c>
      <c r="G1373" s="331">
        <f t="shared" si="486"/>
        <v>1371</v>
      </c>
      <c r="H1373" s="115" t="s">
        <v>1321</v>
      </c>
    </row>
    <row r="1374" ht="18.75" customHeight="1">
      <c r="A1374" s="210"/>
      <c r="B1374" s="104">
        <f t="shared" si="2"/>
        <v>1373</v>
      </c>
      <c r="C1374" s="100" t="s">
        <v>1323</v>
      </c>
      <c r="D1374" s="279">
        <v>2.0</v>
      </c>
      <c r="E1374" s="24">
        <f t="shared" si="485"/>
        <v>45975</v>
      </c>
      <c r="F1374" s="330">
        <f t="shared" si="40"/>
        <v>45977</v>
      </c>
      <c r="G1374" s="331">
        <f t="shared" si="486"/>
        <v>1372</v>
      </c>
      <c r="H1374" s="115" t="s">
        <v>1321</v>
      </c>
    </row>
    <row r="1375" ht="18.75" customHeight="1">
      <c r="A1375" s="210"/>
      <c r="B1375" s="104">
        <f t="shared" si="2"/>
        <v>1374</v>
      </c>
      <c r="C1375" s="100" t="s">
        <v>1324</v>
      </c>
      <c r="D1375" s="279">
        <v>1.0</v>
      </c>
      <c r="E1375" s="24">
        <f t="shared" si="485"/>
        <v>45977</v>
      </c>
      <c r="F1375" s="330">
        <f t="shared" si="40"/>
        <v>45978</v>
      </c>
      <c r="G1375" s="331">
        <f t="shared" si="486"/>
        <v>1373</v>
      </c>
      <c r="H1375" s="316" t="s">
        <v>10</v>
      </c>
    </row>
    <row r="1376" ht="18.75" customHeight="1">
      <c r="A1376" s="210"/>
      <c r="B1376" s="104">
        <f t="shared" si="2"/>
        <v>1375</v>
      </c>
      <c r="C1376" s="100" t="s">
        <v>1325</v>
      </c>
      <c r="D1376" s="279">
        <v>1.0</v>
      </c>
      <c r="E1376" s="24">
        <f t="shared" si="485"/>
        <v>45978</v>
      </c>
      <c r="F1376" s="330">
        <f t="shared" si="40"/>
        <v>45979</v>
      </c>
      <c r="G1376" s="331">
        <f t="shared" si="486"/>
        <v>1374</v>
      </c>
      <c r="H1376" s="115" t="s">
        <v>1321</v>
      </c>
    </row>
    <row r="1377" ht="18.75" customHeight="1">
      <c r="A1377" s="210"/>
      <c r="B1377" s="104">
        <f t="shared" si="2"/>
        <v>1376</v>
      </c>
      <c r="C1377" s="100" t="s">
        <v>1326</v>
      </c>
      <c r="D1377" s="279">
        <v>2.0</v>
      </c>
      <c r="E1377" s="24">
        <f t="shared" si="485"/>
        <v>45979</v>
      </c>
      <c r="F1377" s="330">
        <f t="shared" si="40"/>
        <v>45981</v>
      </c>
      <c r="G1377" s="331">
        <f t="shared" si="486"/>
        <v>1375</v>
      </c>
      <c r="H1377" s="115" t="s">
        <v>1321</v>
      </c>
    </row>
    <row r="1378" ht="18.75" customHeight="1">
      <c r="A1378" s="210"/>
      <c r="B1378" s="104">
        <f t="shared" si="2"/>
        <v>1377</v>
      </c>
      <c r="C1378" s="100" t="s">
        <v>1327</v>
      </c>
      <c r="D1378" s="279">
        <v>2.0</v>
      </c>
      <c r="E1378" s="24">
        <f t="shared" si="485"/>
        <v>45981</v>
      </c>
      <c r="F1378" s="330">
        <f t="shared" si="40"/>
        <v>45983</v>
      </c>
      <c r="G1378" s="331">
        <f t="shared" si="486"/>
        <v>1376</v>
      </c>
      <c r="H1378" s="115" t="s">
        <v>1321</v>
      </c>
    </row>
    <row r="1379" ht="18.75" customHeight="1">
      <c r="A1379" s="210"/>
      <c r="B1379" s="104">
        <f t="shared" si="2"/>
        <v>1378</v>
      </c>
      <c r="C1379" s="311" t="s">
        <v>1328</v>
      </c>
      <c r="D1379" s="279">
        <v>1.0</v>
      </c>
      <c r="E1379" s="24">
        <f>F1362</f>
        <v>45976</v>
      </c>
      <c r="F1379" s="330">
        <f t="shared" si="40"/>
        <v>45977</v>
      </c>
      <c r="G1379" s="331" t="str">
        <f>B1302&amp; "-" &amp;B1318&amp; "-" &amp;B1334&amp; "-" &amp;B1350&amp; "-" &amp;B1362</f>
        <v>1301-1317-1333-1349-1361</v>
      </c>
      <c r="H1379" s="316" t="s">
        <v>10</v>
      </c>
    </row>
    <row r="1380" ht="18.75" customHeight="1">
      <c r="A1380" s="210"/>
      <c r="B1380" s="104">
        <f t="shared" si="2"/>
        <v>1379</v>
      </c>
      <c r="C1380" s="311" t="s">
        <v>1329</v>
      </c>
      <c r="D1380" s="279">
        <v>1.0</v>
      </c>
      <c r="E1380" s="24">
        <f t="shared" ref="E1380:E1390" si="487">F1379</f>
        <v>45977</v>
      </c>
      <c r="F1380" s="330">
        <f t="shared" si="40"/>
        <v>45978</v>
      </c>
      <c r="G1380" s="331">
        <f t="shared" ref="G1380:G1390" si="488">B1379</f>
        <v>1378</v>
      </c>
      <c r="H1380" s="115" t="s">
        <v>1321</v>
      </c>
    </row>
    <row r="1381" ht="18.75" customHeight="1">
      <c r="A1381" s="210"/>
      <c r="B1381" s="104">
        <f t="shared" si="2"/>
        <v>1380</v>
      </c>
      <c r="C1381" s="311" t="s">
        <v>1330</v>
      </c>
      <c r="D1381" s="279">
        <v>2.0</v>
      </c>
      <c r="E1381" s="24">
        <f t="shared" si="487"/>
        <v>45978</v>
      </c>
      <c r="F1381" s="330">
        <f t="shared" si="40"/>
        <v>45980</v>
      </c>
      <c r="G1381" s="331">
        <f t="shared" si="488"/>
        <v>1379</v>
      </c>
      <c r="H1381" s="115" t="s">
        <v>1321</v>
      </c>
    </row>
    <row r="1382" ht="18.75" customHeight="1">
      <c r="A1382" s="210"/>
      <c r="B1382" s="104">
        <f t="shared" si="2"/>
        <v>1381</v>
      </c>
      <c r="C1382" s="311" t="s">
        <v>1331</v>
      </c>
      <c r="D1382" s="279">
        <v>2.0</v>
      </c>
      <c r="E1382" s="24">
        <f t="shared" si="487"/>
        <v>45980</v>
      </c>
      <c r="F1382" s="330">
        <f t="shared" si="40"/>
        <v>45982</v>
      </c>
      <c r="G1382" s="331">
        <f t="shared" si="488"/>
        <v>1380</v>
      </c>
      <c r="H1382" s="115" t="s">
        <v>1321</v>
      </c>
    </row>
    <row r="1383" ht="18.75" customHeight="1">
      <c r="A1383" s="210"/>
      <c r="B1383" s="104">
        <f t="shared" si="2"/>
        <v>1382</v>
      </c>
      <c r="C1383" s="311" t="s">
        <v>1332</v>
      </c>
      <c r="D1383" s="279">
        <v>1.0</v>
      </c>
      <c r="E1383" s="24">
        <f t="shared" si="487"/>
        <v>45982</v>
      </c>
      <c r="F1383" s="330">
        <f t="shared" si="40"/>
        <v>45983</v>
      </c>
      <c r="G1383" s="331">
        <f t="shared" si="488"/>
        <v>1381</v>
      </c>
      <c r="H1383" s="316" t="s">
        <v>10</v>
      </c>
    </row>
    <row r="1384" ht="18.75" customHeight="1">
      <c r="A1384" s="210"/>
      <c r="B1384" s="104">
        <f t="shared" si="2"/>
        <v>1383</v>
      </c>
      <c r="C1384" s="311" t="s">
        <v>1333</v>
      </c>
      <c r="D1384" s="279">
        <v>1.0</v>
      </c>
      <c r="E1384" s="24">
        <f t="shared" si="487"/>
        <v>45983</v>
      </c>
      <c r="F1384" s="330">
        <f t="shared" si="40"/>
        <v>45984</v>
      </c>
      <c r="G1384" s="331">
        <f t="shared" si="488"/>
        <v>1382</v>
      </c>
      <c r="H1384" s="115" t="s">
        <v>1321</v>
      </c>
    </row>
    <row r="1385" ht="18.75" customHeight="1">
      <c r="A1385" s="210"/>
      <c r="B1385" s="104">
        <f t="shared" si="2"/>
        <v>1384</v>
      </c>
      <c r="C1385" s="311" t="s">
        <v>1334</v>
      </c>
      <c r="D1385" s="279">
        <v>2.0</v>
      </c>
      <c r="E1385" s="24">
        <f t="shared" si="487"/>
        <v>45984</v>
      </c>
      <c r="F1385" s="330">
        <f t="shared" si="40"/>
        <v>45986</v>
      </c>
      <c r="G1385" s="331">
        <f t="shared" si="488"/>
        <v>1383</v>
      </c>
      <c r="H1385" s="115" t="s">
        <v>1321</v>
      </c>
    </row>
    <row r="1386" ht="18.75" customHeight="1">
      <c r="A1386" s="210"/>
      <c r="B1386" s="104">
        <f t="shared" si="2"/>
        <v>1385</v>
      </c>
      <c r="C1386" s="311" t="s">
        <v>1335</v>
      </c>
      <c r="D1386" s="279">
        <v>2.0</v>
      </c>
      <c r="E1386" s="24">
        <f t="shared" si="487"/>
        <v>45986</v>
      </c>
      <c r="F1386" s="330">
        <f t="shared" si="40"/>
        <v>45988</v>
      </c>
      <c r="G1386" s="331">
        <f t="shared" si="488"/>
        <v>1384</v>
      </c>
      <c r="H1386" s="115" t="s">
        <v>1321</v>
      </c>
    </row>
    <row r="1387" ht="18.75" customHeight="1">
      <c r="A1387" s="210"/>
      <c r="B1387" s="104">
        <f t="shared" si="2"/>
        <v>1386</v>
      </c>
      <c r="C1387" s="311" t="s">
        <v>1336</v>
      </c>
      <c r="D1387" s="279">
        <v>1.0</v>
      </c>
      <c r="E1387" s="24">
        <f t="shared" si="487"/>
        <v>45988</v>
      </c>
      <c r="F1387" s="330">
        <f t="shared" si="40"/>
        <v>45989</v>
      </c>
      <c r="G1387" s="331">
        <f t="shared" si="488"/>
        <v>1385</v>
      </c>
      <c r="H1387" s="316" t="s">
        <v>10</v>
      </c>
    </row>
    <row r="1388" ht="18.75" customHeight="1">
      <c r="A1388" s="210"/>
      <c r="B1388" s="104">
        <f t="shared" si="2"/>
        <v>1387</v>
      </c>
      <c r="C1388" s="311" t="s">
        <v>1337</v>
      </c>
      <c r="D1388" s="279">
        <v>1.0</v>
      </c>
      <c r="E1388" s="24">
        <f t="shared" si="487"/>
        <v>45989</v>
      </c>
      <c r="F1388" s="330">
        <f t="shared" si="40"/>
        <v>45990</v>
      </c>
      <c r="G1388" s="331">
        <f t="shared" si="488"/>
        <v>1386</v>
      </c>
      <c r="H1388" s="115" t="s">
        <v>1321</v>
      </c>
    </row>
    <row r="1389" ht="18.75" customHeight="1">
      <c r="A1389" s="210"/>
      <c r="B1389" s="104">
        <f t="shared" si="2"/>
        <v>1388</v>
      </c>
      <c r="C1389" s="311" t="s">
        <v>1338</v>
      </c>
      <c r="D1389" s="279">
        <v>2.0</v>
      </c>
      <c r="E1389" s="24">
        <f t="shared" si="487"/>
        <v>45990</v>
      </c>
      <c r="F1389" s="330">
        <f t="shared" si="40"/>
        <v>45992</v>
      </c>
      <c r="G1389" s="331">
        <f t="shared" si="488"/>
        <v>1387</v>
      </c>
      <c r="H1389" s="115" t="s">
        <v>1321</v>
      </c>
    </row>
    <row r="1390" ht="18.75" customHeight="1">
      <c r="A1390" s="210"/>
      <c r="B1390" s="104">
        <f t="shared" si="2"/>
        <v>1389</v>
      </c>
      <c r="C1390" s="311" t="s">
        <v>1339</v>
      </c>
      <c r="D1390" s="279">
        <v>2.0</v>
      </c>
      <c r="E1390" s="24">
        <f t="shared" si="487"/>
        <v>45992</v>
      </c>
      <c r="F1390" s="330">
        <f t="shared" si="40"/>
        <v>45994</v>
      </c>
      <c r="G1390" s="331">
        <f t="shared" si="488"/>
        <v>1388</v>
      </c>
      <c r="H1390" s="115" t="s">
        <v>1321</v>
      </c>
    </row>
    <row r="1391" ht="18.75" customHeight="1">
      <c r="A1391" s="210"/>
      <c r="B1391" s="104">
        <f t="shared" si="2"/>
        <v>1390</v>
      </c>
      <c r="C1391" s="100" t="s">
        <v>1340</v>
      </c>
      <c r="D1391" s="279">
        <v>1.0</v>
      </c>
      <c r="E1391" s="24">
        <f>F1366</f>
        <v>45976</v>
      </c>
      <c r="F1391" s="330">
        <f t="shared" si="40"/>
        <v>45977</v>
      </c>
      <c r="G1391" s="331" t="str">
        <f>B1306&amp; "-" &amp;B1322&amp; "-" &amp;B1338&amp; "-" &amp;B1354&amp; "-" &amp;B1366</f>
        <v>1305-1321-1337-1353-1365</v>
      </c>
      <c r="H1391" s="316" t="s">
        <v>10</v>
      </c>
    </row>
    <row r="1392" ht="18.75" customHeight="1">
      <c r="A1392" s="210"/>
      <c r="B1392" s="104">
        <f t="shared" si="2"/>
        <v>1391</v>
      </c>
      <c r="C1392" s="100" t="s">
        <v>1341</v>
      </c>
      <c r="D1392" s="279">
        <v>1.0</v>
      </c>
      <c r="E1392" s="24">
        <f t="shared" ref="E1392:E1402" si="489">F1391</f>
        <v>45977</v>
      </c>
      <c r="F1392" s="330">
        <f t="shared" si="40"/>
        <v>45978</v>
      </c>
      <c r="G1392" s="331">
        <f t="shared" ref="G1392:G1402" si="490">B1391</f>
        <v>1390</v>
      </c>
      <c r="H1392" s="115" t="s">
        <v>1321</v>
      </c>
    </row>
    <row r="1393" ht="18.75" customHeight="1">
      <c r="A1393" s="210"/>
      <c r="B1393" s="104">
        <f t="shared" si="2"/>
        <v>1392</v>
      </c>
      <c r="C1393" s="100" t="s">
        <v>1342</v>
      </c>
      <c r="D1393" s="279">
        <v>2.0</v>
      </c>
      <c r="E1393" s="24">
        <f t="shared" si="489"/>
        <v>45978</v>
      </c>
      <c r="F1393" s="330">
        <f t="shared" si="40"/>
        <v>45980</v>
      </c>
      <c r="G1393" s="331">
        <f t="shared" si="490"/>
        <v>1391</v>
      </c>
      <c r="H1393" s="115" t="s">
        <v>1321</v>
      </c>
    </row>
    <row r="1394" ht="18.75" customHeight="1">
      <c r="A1394" s="210"/>
      <c r="B1394" s="104">
        <f t="shared" si="2"/>
        <v>1393</v>
      </c>
      <c r="C1394" s="100" t="s">
        <v>1343</v>
      </c>
      <c r="D1394" s="279">
        <v>2.0</v>
      </c>
      <c r="E1394" s="24">
        <f t="shared" si="489"/>
        <v>45980</v>
      </c>
      <c r="F1394" s="330">
        <f t="shared" si="40"/>
        <v>45982</v>
      </c>
      <c r="G1394" s="331">
        <f t="shared" si="490"/>
        <v>1392</v>
      </c>
      <c r="H1394" s="115" t="s">
        <v>1321</v>
      </c>
    </row>
    <row r="1395" ht="18.75" customHeight="1">
      <c r="A1395" s="210"/>
      <c r="B1395" s="104">
        <f t="shared" si="2"/>
        <v>1394</v>
      </c>
      <c r="C1395" s="100" t="s">
        <v>1344</v>
      </c>
      <c r="D1395" s="279">
        <v>1.0</v>
      </c>
      <c r="E1395" s="24">
        <f t="shared" si="489"/>
        <v>45982</v>
      </c>
      <c r="F1395" s="330">
        <f t="shared" si="40"/>
        <v>45983</v>
      </c>
      <c r="G1395" s="331">
        <f t="shared" si="490"/>
        <v>1393</v>
      </c>
      <c r="H1395" s="316" t="s">
        <v>10</v>
      </c>
    </row>
    <row r="1396" ht="18.75" customHeight="1">
      <c r="A1396" s="210"/>
      <c r="B1396" s="104">
        <f t="shared" si="2"/>
        <v>1395</v>
      </c>
      <c r="C1396" s="100" t="s">
        <v>1345</v>
      </c>
      <c r="D1396" s="279">
        <v>1.0</v>
      </c>
      <c r="E1396" s="24">
        <f t="shared" si="489"/>
        <v>45983</v>
      </c>
      <c r="F1396" s="330">
        <f t="shared" si="40"/>
        <v>45984</v>
      </c>
      <c r="G1396" s="331">
        <f t="shared" si="490"/>
        <v>1394</v>
      </c>
      <c r="H1396" s="115" t="s">
        <v>1321</v>
      </c>
    </row>
    <row r="1397" ht="18.75" customHeight="1">
      <c r="A1397" s="210"/>
      <c r="B1397" s="104">
        <f t="shared" si="2"/>
        <v>1396</v>
      </c>
      <c r="C1397" s="100" t="s">
        <v>1346</v>
      </c>
      <c r="D1397" s="279">
        <v>2.0</v>
      </c>
      <c r="E1397" s="24">
        <f t="shared" si="489"/>
        <v>45984</v>
      </c>
      <c r="F1397" s="330">
        <f t="shared" si="40"/>
        <v>45986</v>
      </c>
      <c r="G1397" s="331">
        <f t="shared" si="490"/>
        <v>1395</v>
      </c>
      <c r="H1397" s="115" t="s">
        <v>1321</v>
      </c>
    </row>
    <row r="1398" ht="18.75" customHeight="1">
      <c r="A1398" s="210"/>
      <c r="B1398" s="104">
        <f t="shared" si="2"/>
        <v>1397</v>
      </c>
      <c r="C1398" s="100" t="s">
        <v>1347</v>
      </c>
      <c r="D1398" s="279">
        <v>2.0</v>
      </c>
      <c r="E1398" s="24">
        <f t="shared" si="489"/>
        <v>45986</v>
      </c>
      <c r="F1398" s="330">
        <f t="shared" si="40"/>
        <v>45988</v>
      </c>
      <c r="G1398" s="331">
        <f t="shared" si="490"/>
        <v>1396</v>
      </c>
      <c r="H1398" s="115" t="s">
        <v>1321</v>
      </c>
    </row>
    <row r="1399" ht="18.75" customHeight="1">
      <c r="A1399" s="210"/>
      <c r="B1399" s="104">
        <f t="shared" si="2"/>
        <v>1398</v>
      </c>
      <c r="C1399" s="100" t="s">
        <v>1348</v>
      </c>
      <c r="D1399" s="279">
        <v>1.0</v>
      </c>
      <c r="E1399" s="24">
        <f t="shared" si="489"/>
        <v>45988</v>
      </c>
      <c r="F1399" s="330">
        <f t="shared" si="40"/>
        <v>45989</v>
      </c>
      <c r="G1399" s="331">
        <f t="shared" si="490"/>
        <v>1397</v>
      </c>
      <c r="H1399" s="316" t="s">
        <v>10</v>
      </c>
    </row>
    <row r="1400" ht="18.75" customHeight="1">
      <c r="A1400" s="210"/>
      <c r="B1400" s="104">
        <f t="shared" si="2"/>
        <v>1399</v>
      </c>
      <c r="C1400" s="100" t="s">
        <v>1349</v>
      </c>
      <c r="D1400" s="279">
        <v>1.0</v>
      </c>
      <c r="E1400" s="24">
        <f t="shared" si="489"/>
        <v>45989</v>
      </c>
      <c r="F1400" s="330">
        <f t="shared" si="40"/>
        <v>45990</v>
      </c>
      <c r="G1400" s="331">
        <f t="shared" si="490"/>
        <v>1398</v>
      </c>
      <c r="H1400" s="115" t="s">
        <v>1321</v>
      </c>
    </row>
    <row r="1401" ht="18.75" customHeight="1">
      <c r="A1401" s="210"/>
      <c r="B1401" s="104">
        <f t="shared" si="2"/>
        <v>1400</v>
      </c>
      <c r="C1401" s="100" t="s">
        <v>1350</v>
      </c>
      <c r="D1401" s="279">
        <v>2.0</v>
      </c>
      <c r="E1401" s="24">
        <f t="shared" si="489"/>
        <v>45990</v>
      </c>
      <c r="F1401" s="330">
        <f t="shared" si="40"/>
        <v>45992</v>
      </c>
      <c r="G1401" s="331">
        <f t="shared" si="490"/>
        <v>1399</v>
      </c>
      <c r="H1401" s="115" t="s">
        <v>1321</v>
      </c>
    </row>
    <row r="1402" ht="18.75" customHeight="1">
      <c r="A1402" s="210"/>
      <c r="B1402" s="104">
        <f t="shared" si="2"/>
        <v>1401</v>
      </c>
      <c r="C1402" s="100" t="s">
        <v>1351</v>
      </c>
      <c r="D1402" s="279">
        <v>2.0</v>
      </c>
      <c r="E1402" s="24">
        <f t="shared" si="489"/>
        <v>45992</v>
      </c>
      <c r="F1402" s="330">
        <f t="shared" si="40"/>
        <v>45994</v>
      </c>
      <c r="G1402" s="331">
        <f t="shared" si="490"/>
        <v>1400</v>
      </c>
      <c r="H1402" s="115" t="s">
        <v>1321</v>
      </c>
    </row>
    <row r="1403" ht="18.75" customHeight="1">
      <c r="A1403" s="210"/>
      <c r="B1403" s="104">
        <f t="shared" si="2"/>
        <v>1402</v>
      </c>
      <c r="C1403" s="311" t="s">
        <v>1352</v>
      </c>
      <c r="D1403" s="279">
        <v>1.0</v>
      </c>
      <c r="E1403" s="24">
        <f>F1370</f>
        <v>45976</v>
      </c>
      <c r="F1403" s="330">
        <f t="shared" si="40"/>
        <v>45977</v>
      </c>
      <c r="G1403" s="331" t="str">
        <f>B1310&amp; "-" &amp;B1326&amp; "-" &amp;B1342&amp; "-" &amp;B1358&amp; "-" &amp;B1370</f>
        <v>1309-1325-1341-1357-1369</v>
      </c>
      <c r="H1403" s="316" t="s">
        <v>10</v>
      </c>
    </row>
    <row r="1404" ht="18.75" customHeight="1">
      <c r="A1404" s="210"/>
      <c r="B1404" s="104">
        <f t="shared" si="2"/>
        <v>1403</v>
      </c>
      <c r="C1404" s="311" t="s">
        <v>1353</v>
      </c>
      <c r="D1404" s="279">
        <v>1.0</v>
      </c>
      <c r="E1404" s="24">
        <f t="shared" ref="E1404:E1414" si="491">F1403</f>
        <v>45977</v>
      </c>
      <c r="F1404" s="330">
        <f t="shared" si="40"/>
        <v>45978</v>
      </c>
      <c r="G1404" s="331">
        <f t="shared" ref="G1404:G1414" si="492">B1403</f>
        <v>1402</v>
      </c>
      <c r="H1404" s="115" t="s">
        <v>1321</v>
      </c>
    </row>
    <row r="1405" ht="18.75" customHeight="1">
      <c r="A1405" s="210"/>
      <c r="B1405" s="104">
        <f t="shared" si="2"/>
        <v>1404</v>
      </c>
      <c r="C1405" s="311" t="s">
        <v>1354</v>
      </c>
      <c r="D1405" s="279">
        <v>2.0</v>
      </c>
      <c r="E1405" s="24">
        <f t="shared" si="491"/>
        <v>45978</v>
      </c>
      <c r="F1405" s="330">
        <f t="shared" si="40"/>
        <v>45980</v>
      </c>
      <c r="G1405" s="331">
        <f t="shared" si="492"/>
        <v>1403</v>
      </c>
      <c r="H1405" s="115" t="s">
        <v>1321</v>
      </c>
    </row>
    <row r="1406" ht="18.75" customHeight="1">
      <c r="A1406" s="210"/>
      <c r="B1406" s="104">
        <f t="shared" si="2"/>
        <v>1405</v>
      </c>
      <c r="C1406" s="311" t="s">
        <v>1355</v>
      </c>
      <c r="D1406" s="279">
        <v>2.0</v>
      </c>
      <c r="E1406" s="24">
        <f t="shared" si="491"/>
        <v>45980</v>
      </c>
      <c r="F1406" s="330">
        <f t="shared" si="40"/>
        <v>45982</v>
      </c>
      <c r="G1406" s="331">
        <f t="shared" si="492"/>
        <v>1404</v>
      </c>
      <c r="H1406" s="115" t="s">
        <v>1321</v>
      </c>
    </row>
    <row r="1407" ht="18.75" customHeight="1">
      <c r="A1407" s="210"/>
      <c r="B1407" s="104">
        <f t="shared" si="2"/>
        <v>1406</v>
      </c>
      <c r="C1407" s="311" t="s">
        <v>1356</v>
      </c>
      <c r="D1407" s="279">
        <v>1.0</v>
      </c>
      <c r="E1407" s="24">
        <f t="shared" si="491"/>
        <v>45982</v>
      </c>
      <c r="F1407" s="330">
        <f t="shared" si="40"/>
        <v>45983</v>
      </c>
      <c r="G1407" s="331">
        <f t="shared" si="492"/>
        <v>1405</v>
      </c>
      <c r="H1407" s="316" t="s">
        <v>10</v>
      </c>
    </row>
    <row r="1408" ht="18.75" customHeight="1">
      <c r="A1408" s="210"/>
      <c r="B1408" s="104">
        <f t="shared" si="2"/>
        <v>1407</v>
      </c>
      <c r="C1408" s="311" t="s">
        <v>1357</v>
      </c>
      <c r="D1408" s="279">
        <v>1.0</v>
      </c>
      <c r="E1408" s="24">
        <f t="shared" si="491"/>
        <v>45983</v>
      </c>
      <c r="F1408" s="330">
        <f t="shared" si="40"/>
        <v>45984</v>
      </c>
      <c r="G1408" s="331">
        <f t="shared" si="492"/>
        <v>1406</v>
      </c>
      <c r="H1408" s="115" t="s">
        <v>1321</v>
      </c>
    </row>
    <row r="1409" ht="18.75" customHeight="1">
      <c r="A1409" s="210"/>
      <c r="B1409" s="104">
        <f t="shared" si="2"/>
        <v>1408</v>
      </c>
      <c r="C1409" s="311" t="s">
        <v>1358</v>
      </c>
      <c r="D1409" s="279">
        <v>2.0</v>
      </c>
      <c r="E1409" s="24">
        <f t="shared" si="491"/>
        <v>45984</v>
      </c>
      <c r="F1409" s="330">
        <f t="shared" si="40"/>
        <v>45986</v>
      </c>
      <c r="G1409" s="331">
        <f t="shared" si="492"/>
        <v>1407</v>
      </c>
      <c r="H1409" s="115" t="s">
        <v>1321</v>
      </c>
    </row>
    <row r="1410" ht="18.75" customHeight="1">
      <c r="A1410" s="210"/>
      <c r="B1410" s="104">
        <f t="shared" si="2"/>
        <v>1409</v>
      </c>
      <c r="C1410" s="311" t="s">
        <v>1359</v>
      </c>
      <c r="D1410" s="279">
        <v>2.0</v>
      </c>
      <c r="E1410" s="24">
        <f t="shared" si="491"/>
        <v>45986</v>
      </c>
      <c r="F1410" s="330">
        <f t="shared" si="40"/>
        <v>45988</v>
      </c>
      <c r="G1410" s="331">
        <f t="shared" si="492"/>
        <v>1408</v>
      </c>
      <c r="H1410" s="115" t="s">
        <v>1321</v>
      </c>
    </row>
    <row r="1411" ht="18.75" customHeight="1">
      <c r="A1411" s="210"/>
      <c r="B1411" s="104">
        <f t="shared" si="2"/>
        <v>1410</v>
      </c>
      <c r="C1411" s="311" t="s">
        <v>1360</v>
      </c>
      <c r="D1411" s="279">
        <v>1.0</v>
      </c>
      <c r="E1411" s="24">
        <f t="shared" si="491"/>
        <v>45988</v>
      </c>
      <c r="F1411" s="330">
        <f t="shared" si="40"/>
        <v>45989</v>
      </c>
      <c r="G1411" s="331">
        <f t="shared" si="492"/>
        <v>1409</v>
      </c>
      <c r="H1411" s="316" t="s">
        <v>10</v>
      </c>
    </row>
    <row r="1412" ht="18.75" customHeight="1">
      <c r="A1412" s="210"/>
      <c r="B1412" s="104">
        <f t="shared" si="2"/>
        <v>1411</v>
      </c>
      <c r="C1412" s="311" t="s">
        <v>1361</v>
      </c>
      <c r="D1412" s="279">
        <v>1.0</v>
      </c>
      <c r="E1412" s="24">
        <f t="shared" si="491"/>
        <v>45989</v>
      </c>
      <c r="F1412" s="330">
        <f t="shared" si="40"/>
        <v>45990</v>
      </c>
      <c r="G1412" s="331">
        <f t="shared" si="492"/>
        <v>1410</v>
      </c>
      <c r="H1412" s="115" t="s">
        <v>1321</v>
      </c>
    </row>
    <row r="1413" ht="18.75" customHeight="1">
      <c r="A1413" s="210"/>
      <c r="B1413" s="104">
        <f t="shared" si="2"/>
        <v>1412</v>
      </c>
      <c r="C1413" s="311" t="s">
        <v>1362</v>
      </c>
      <c r="D1413" s="279">
        <v>2.0</v>
      </c>
      <c r="E1413" s="24">
        <f t="shared" si="491"/>
        <v>45990</v>
      </c>
      <c r="F1413" s="330">
        <f t="shared" si="40"/>
        <v>45992</v>
      </c>
      <c r="G1413" s="331">
        <f t="shared" si="492"/>
        <v>1411</v>
      </c>
      <c r="H1413" s="115" t="s">
        <v>1321</v>
      </c>
    </row>
    <row r="1414" ht="18.75" customHeight="1">
      <c r="A1414" s="210"/>
      <c r="B1414" s="104">
        <f t="shared" si="2"/>
        <v>1413</v>
      </c>
      <c r="C1414" s="311" t="s">
        <v>1363</v>
      </c>
      <c r="D1414" s="279">
        <v>2.0</v>
      </c>
      <c r="E1414" s="24">
        <f t="shared" si="491"/>
        <v>45992</v>
      </c>
      <c r="F1414" s="330">
        <f t="shared" si="40"/>
        <v>45994</v>
      </c>
      <c r="G1414" s="331">
        <f t="shared" si="492"/>
        <v>1412</v>
      </c>
      <c r="H1414" s="115" t="s">
        <v>1321</v>
      </c>
    </row>
    <row r="1415" ht="18.75" customHeight="1">
      <c r="A1415" s="292" t="s">
        <v>1364</v>
      </c>
      <c r="B1415" s="104">
        <f t="shared" si="2"/>
        <v>1414</v>
      </c>
      <c r="C1415" s="125" t="s">
        <v>1365</v>
      </c>
      <c r="D1415" s="279">
        <v>1.0</v>
      </c>
      <c r="E1415" s="24">
        <f>F1366</f>
        <v>45976</v>
      </c>
      <c r="F1415" s="330">
        <f t="shared" si="40"/>
        <v>45977</v>
      </c>
      <c r="G1415" s="331">
        <f>B1366</f>
        <v>1365</v>
      </c>
      <c r="H1415" s="316" t="s">
        <v>10</v>
      </c>
    </row>
    <row r="1416" ht="18.75" customHeight="1">
      <c r="A1416" s="281" t="s">
        <v>551</v>
      </c>
      <c r="B1416" s="104">
        <f t="shared" si="2"/>
        <v>1415</v>
      </c>
      <c r="C1416" s="125" t="s">
        <v>1366</v>
      </c>
      <c r="D1416" s="279">
        <v>1.0</v>
      </c>
      <c r="E1416" s="24">
        <f t="shared" ref="E1416:E1418" si="493">F1415</f>
        <v>45977</v>
      </c>
      <c r="F1416" s="330">
        <f t="shared" si="40"/>
        <v>45978</v>
      </c>
      <c r="G1416" s="331">
        <f t="shared" ref="G1416:G1418" si="494">B1415</f>
        <v>1414</v>
      </c>
      <c r="H1416" s="115" t="s">
        <v>1321</v>
      </c>
    </row>
    <row r="1417" ht="18.75" customHeight="1">
      <c r="A1417" s="332"/>
      <c r="B1417" s="104">
        <f t="shared" si="2"/>
        <v>1416</v>
      </c>
      <c r="C1417" s="125" t="s">
        <v>1367</v>
      </c>
      <c r="D1417" s="279">
        <v>2.0</v>
      </c>
      <c r="E1417" s="24">
        <f t="shared" si="493"/>
        <v>45978</v>
      </c>
      <c r="F1417" s="330">
        <f t="shared" si="40"/>
        <v>45980</v>
      </c>
      <c r="G1417" s="331">
        <f t="shared" si="494"/>
        <v>1415</v>
      </c>
      <c r="H1417" s="115" t="s">
        <v>1321</v>
      </c>
    </row>
    <row r="1418" ht="18.75" customHeight="1">
      <c r="A1418" s="332"/>
      <c r="B1418" s="104">
        <f t="shared" si="2"/>
        <v>1417</v>
      </c>
      <c r="C1418" s="125" t="s">
        <v>1368</v>
      </c>
      <c r="D1418" s="279">
        <v>2.0</v>
      </c>
      <c r="E1418" s="24">
        <f t="shared" si="493"/>
        <v>45980</v>
      </c>
      <c r="F1418" s="330">
        <f t="shared" si="40"/>
        <v>45982</v>
      </c>
      <c r="G1418" s="331">
        <f t="shared" si="494"/>
        <v>1416</v>
      </c>
      <c r="H1418" s="115" t="s">
        <v>1321</v>
      </c>
    </row>
    <row r="1419" ht="18.75" customHeight="1">
      <c r="A1419" s="327"/>
      <c r="B1419" s="104">
        <f t="shared" si="2"/>
        <v>1418</v>
      </c>
      <c r="C1419" s="125" t="s">
        <v>1369</v>
      </c>
      <c r="D1419" s="279">
        <v>1.0</v>
      </c>
      <c r="E1419" s="24">
        <f>F1370</f>
        <v>45976</v>
      </c>
      <c r="F1419" s="330">
        <f t="shared" si="40"/>
        <v>45977</v>
      </c>
      <c r="G1419" s="331">
        <f>B1370</f>
        <v>1369</v>
      </c>
      <c r="H1419" s="316" t="s">
        <v>10</v>
      </c>
    </row>
    <row r="1420" ht="18.75" customHeight="1">
      <c r="A1420" s="327"/>
      <c r="B1420" s="104">
        <f t="shared" si="2"/>
        <v>1419</v>
      </c>
      <c r="C1420" s="125" t="s">
        <v>1370</v>
      </c>
      <c r="D1420" s="279">
        <v>1.0</v>
      </c>
      <c r="E1420" s="24">
        <f t="shared" ref="E1420:E1422" si="495">F1419</f>
        <v>45977</v>
      </c>
      <c r="F1420" s="330">
        <f t="shared" si="40"/>
        <v>45978</v>
      </c>
      <c r="G1420" s="331">
        <f t="shared" ref="G1420:G1422" si="496">B1419</f>
        <v>1418</v>
      </c>
      <c r="H1420" s="115" t="s">
        <v>1321</v>
      </c>
    </row>
    <row r="1421" ht="18.75" customHeight="1">
      <c r="A1421" s="327"/>
      <c r="B1421" s="104">
        <f t="shared" si="2"/>
        <v>1420</v>
      </c>
      <c r="C1421" s="125" t="s">
        <v>1371</v>
      </c>
      <c r="D1421" s="279">
        <v>2.0</v>
      </c>
      <c r="E1421" s="24">
        <f t="shared" si="495"/>
        <v>45978</v>
      </c>
      <c r="F1421" s="330">
        <f t="shared" si="40"/>
        <v>45980</v>
      </c>
      <c r="G1421" s="331">
        <f t="shared" si="496"/>
        <v>1419</v>
      </c>
      <c r="H1421" s="115" t="s">
        <v>1321</v>
      </c>
    </row>
    <row r="1422" ht="18.75" customHeight="1">
      <c r="A1422" s="333"/>
      <c r="B1422" s="104">
        <f t="shared" si="2"/>
        <v>1421</v>
      </c>
      <c r="C1422" s="125" t="s">
        <v>1372</v>
      </c>
      <c r="D1422" s="279">
        <v>2.0</v>
      </c>
      <c r="E1422" s="24">
        <f t="shared" si="495"/>
        <v>45980</v>
      </c>
      <c r="F1422" s="330">
        <f t="shared" si="40"/>
        <v>45982</v>
      </c>
      <c r="G1422" s="331">
        <f t="shared" si="496"/>
        <v>1420</v>
      </c>
      <c r="H1422" s="115" t="s">
        <v>1321</v>
      </c>
    </row>
  </sheetData>
  <conditionalFormatting sqref="A1">
    <cfRule type="notContainsBlanks" dxfId="5" priority="1">
      <formula>LEN(TRIM(A1))&gt;0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headerFooter>
    <oddHeader>&amp;LNombre del Alumno: German Bisutti Moscatelli&amp;CNombre del Docente: Gustavo Virtos&amp;RFecha de entrega: 20/11/2025</oddHeader>
    <oddFooter>&amp;LDNI: 45928501&amp;CDesarrollo de Software&amp;R&amp;P/34</oddFooter>
  </headerFoo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7.13"/>
    <col customWidth="1" min="3" max="3" width="63.75"/>
    <col customWidth="1" min="4" max="4" width="15.13"/>
    <col customWidth="1" min="5" max="5" width="17.25"/>
    <col customWidth="1" min="6" max="6" width="18.25"/>
    <col customWidth="1" min="7" max="7" width="16.75"/>
    <col customWidth="1" min="8" max="8" width="35.0"/>
  </cols>
  <sheetData>
    <row r="1" ht="22.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ht="22.5" customHeight="1">
      <c r="A2" s="4" t="s">
        <v>8</v>
      </c>
      <c r="B2" s="5">
        <v>1.0</v>
      </c>
      <c r="C2" s="6" t="s">
        <v>9</v>
      </c>
      <c r="D2" s="7">
        <v>15.0</v>
      </c>
      <c r="E2" s="8">
        <v>45688.0</v>
      </c>
      <c r="F2" s="8">
        <f t="shared" ref="F2:F428" si="1">E2+D2</f>
        <v>45703</v>
      </c>
      <c r="G2" s="9"/>
      <c r="H2" s="7" t="s">
        <v>1373</v>
      </c>
    </row>
    <row r="3" ht="22.5" customHeight="1">
      <c r="A3" s="10"/>
      <c r="B3" s="11">
        <f t="shared" ref="B3:B385" si="2">B2+1</f>
        <v>2</v>
      </c>
      <c r="C3" s="14" t="s">
        <v>11</v>
      </c>
      <c r="D3" s="7">
        <v>4.0</v>
      </c>
      <c r="E3" s="8">
        <f>F2</f>
        <v>45703</v>
      </c>
      <c r="F3" s="8">
        <f t="shared" si="1"/>
        <v>45707</v>
      </c>
      <c r="G3" s="9" t="s">
        <v>12</v>
      </c>
      <c r="H3" s="7" t="s">
        <v>1374</v>
      </c>
    </row>
    <row r="4" ht="22.5" customHeight="1">
      <c r="A4" s="13"/>
      <c r="B4" s="11">
        <f t="shared" si="2"/>
        <v>3</v>
      </c>
      <c r="C4" s="14" t="s">
        <v>13</v>
      </c>
      <c r="D4" s="7">
        <v>4.0</v>
      </c>
      <c r="E4" s="8">
        <f>F2</f>
        <v>45703</v>
      </c>
      <c r="F4" s="8">
        <f t="shared" si="1"/>
        <v>45707</v>
      </c>
      <c r="G4" s="9" t="s">
        <v>12</v>
      </c>
      <c r="H4" s="7" t="s">
        <v>1374</v>
      </c>
    </row>
    <row r="5" ht="22.5" customHeight="1">
      <c r="A5" s="10"/>
      <c r="B5" s="11">
        <f t="shared" si="2"/>
        <v>4</v>
      </c>
      <c r="C5" s="14" t="s">
        <v>14</v>
      </c>
      <c r="D5" s="7">
        <v>4.0</v>
      </c>
      <c r="E5" s="8">
        <f>F2</f>
        <v>45703</v>
      </c>
      <c r="F5" s="8">
        <f t="shared" si="1"/>
        <v>45707</v>
      </c>
      <c r="G5" s="9" t="s">
        <v>12</v>
      </c>
      <c r="H5" s="7" t="s">
        <v>1374</v>
      </c>
    </row>
    <row r="6" ht="22.5" customHeight="1">
      <c r="A6" s="13"/>
      <c r="B6" s="11">
        <f t="shared" si="2"/>
        <v>5</v>
      </c>
      <c r="C6" s="14" t="s">
        <v>15</v>
      </c>
      <c r="D6" s="7">
        <v>2.0</v>
      </c>
      <c r="E6" s="8">
        <f>F2</f>
        <v>45703</v>
      </c>
      <c r="F6" s="8">
        <f t="shared" si="1"/>
        <v>45705</v>
      </c>
      <c r="G6" s="9" t="s">
        <v>12</v>
      </c>
      <c r="H6" s="7" t="s">
        <v>1375</v>
      </c>
    </row>
    <row r="7" ht="22.5" customHeight="1">
      <c r="A7" s="13"/>
      <c r="B7" s="11">
        <f t="shared" si="2"/>
        <v>6</v>
      </c>
      <c r="C7" s="14" t="s">
        <v>16</v>
      </c>
      <c r="D7" s="7">
        <v>7.0</v>
      </c>
      <c r="E7" s="8">
        <f>F2</f>
        <v>45703</v>
      </c>
      <c r="F7" s="8">
        <f t="shared" si="1"/>
        <v>45710</v>
      </c>
      <c r="G7" s="9" t="s">
        <v>12</v>
      </c>
      <c r="H7" s="7" t="s">
        <v>1376</v>
      </c>
    </row>
    <row r="8" ht="22.5" customHeight="1">
      <c r="A8" s="13"/>
      <c r="B8" s="5">
        <f t="shared" si="2"/>
        <v>7</v>
      </c>
      <c r="C8" s="14" t="s">
        <v>17</v>
      </c>
      <c r="D8" s="7">
        <v>7.0</v>
      </c>
      <c r="E8" s="8">
        <f>F2</f>
        <v>45703</v>
      </c>
      <c r="F8" s="8">
        <f t="shared" si="1"/>
        <v>45710</v>
      </c>
      <c r="G8" s="9" t="s">
        <v>12</v>
      </c>
      <c r="H8" s="7" t="s">
        <v>1377</v>
      </c>
    </row>
    <row r="9" ht="22.5" customHeight="1">
      <c r="A9" s="13"/>
      <c r="B9" s="5">
        <f t="shared" si="2"/>
        <v>8</v>
      </c>
      <c r="C9" s="14" t="s">
        <v>18</v>
      </c>
      <c r="D9" s="7">
        <v>7.0</v>
      </c>
      <c r="E9" s="8">
        <f>F2</f>
        <v>45703</v>
      </c>
      <c r="F9" s="8">
        <f t="shared" si="1"/>
        <v>45710</v>
      </c>
      <c r="G9" s="9" t="s">
        <v>12</v>
      </c>
      <c r="H9" s="7" t="s">
        <v>1378</v>
      </c>
    </row>
    <row r="10" ht="22.5" customHeight="1">
      <c r="A10" s="13"/>
      <c r="B10" s="5">
        <f t="shared" si="2"/>
        <v>9</v>
      </c>
      <c r="C10" s="14" t="s">
        <v>19</v>
      </c>
      <c r="D10" s="7">
        <v>7.0</v>
      </c>
      <c r="E10" s="8">
        <f>F2</f>
        <v>45703</v>
      </c>
      <c r="F10" s="8">
        <f t="shared" si="1"/>
        <v>45710</v>
      </c>
      <c r="G10" s="9" t="s">
        <v>12</v>
      </c>
      <c r="H10" s="7" t="s">
        <v>1379</v>
      </c>
    </row>
    <row r="11" ht="22.5" customHeight="1">
      <c r="A11" s="15" t="s">
        <v>20</v>
      </c>
      <c r="B11" s="5">
        <f t="shared" si="2"/>
        <v>10</v>
      </c>
      <c r="C11" s="16" t="s">
        <v>21</v>
      </c>
      <c r="D11" s="17">
        <v>1.0</v>
      </c>
      <c r="E11" s="8">
        <f t="shared" ref="E11:E20" si="3">F10</f>
        <v>45710</v>
      </c>
      <c r="F11" s="8">
        <f t="shared" si="1"/>
        <v>45711</v>
      </c>
      <c r="G11" s="9" t="str">
        <f>B3 &amp; "-" &amp; B6 &amp; "-" &amp; B7 &amp; "-" &amp; B8 &amp; "-" &amp; B9 &amp; "-" &amp; B10</f>
        <v>2-5-6-7-8-9</v>
      </c>
      <c r="H11" s="7" t="s">
        <v>1373</v>
      </c>
    </row>
    <row r="12" ht="22.5" customHeight="1">
      <c r="A12" s="18"/>
      <c r="B12" s="5">
        <f t="shared" si="2"/>
        <v>11</v>
      </c>
      <c r="C12" s="16" t="s">
        <v>22</v>
      </c>
      <c r="D12" s="7">
        <v>1.0</v>
      </c>
      <c r="E12" s="8">
        <f t="shared" si="3"/>
        <v>45711</v>
      </c>
      <c r="F12" s="8">
        <f t="shared" si="1"/>
        <v>45712</v>
      </c>
      <c r="G12" s="9">
        <f t="shared" ref="G12:G31" si="4">B11</f>
        <v>10</v>
      </c>
      <c r="H12" s="7" t="s">
        <v>1380</v>
      </c>
    </row>
    <row r="13" ht="22.5" customHeight="1">
      <c r="A13" s="18"/>
      <c r="B13" s="5">
        <f t="shared" si="2"/>
        <v>12</v>
      </c>
      <c r="C13" s="16" t="s">
        <v>1381</v>
      </c>
      <c r="D13" s="7">
        <v>1.0</v>
      </c>
      <c r="E13" s="8">
        <f t="shared" si="3"/>
        <v>45712</v>
      </c>
      <c r="F13" s="8">
        <f t="shared" si="1"/>
        <v>45713</v>
      </c>
      <c r="G13" s="9">
        <f t="shared" si="4"/>
        <v>11</v>
      </c>
      <c r="H13" s="7" t="s">
        <v>1373</v>
      </c>
    </row>
    <row r="14" ht="22.5" customHeight="1">
      <c r="A14" s="18"/>
      <c r="B14" s="5">
        <f t="shared" si="2"/>
        <v>13</v>
      </c>
      <c r="C14" s="16" t="s">
        <v>25</v>
      </c>
      <c r="D14" s="7">
        <v>3.0</v>
      </c>
      <c r="E14" s="8">
        <f t="shared" si="3"/>
        <v>45713</v>
      </c>
      <c r="F14" s="8">
        <f t="shared" si="1"/>
        <v>45716</v>
      </c>
      <c r="G14" s="9">
        <f t="shared" si="4"/>
        <v>12</v>
      </c>
      <c r="H14" s="7" t="s">
        <v>1382</v>
      </c>
    </row>
    <row r="15" ht="22.5" customHeight="1">
      <c r="A15" s="18"/>
      <c r="B15" s="5">
        <f t="shared" si="2"/>
        <v>14</v>
      </c>
      <c r="C15" s="16" t="s">
        <v>26</v>
      </c>
      <c r="D15" s="7">
        <v>1.0</v>
      </c>
      <c r="E15" s="8">
        <f t="shared" si="3"/>
        <v>45716</v>
      </c>
      <c r="F15" s="8">
        <f t="shared" si="1"/>
        <v>45717</v>
      </c>
      <c r="G15" s="9">
        <f t="shared" si="4"/>
        <v>13</v>
      </c>
      <c r="H15" s="7" t="s">
        <v>1373</v>
      </c>
    </row>
    <row r="16" ht="22.5" customHeight="1">
      <c r="A16" s="18"/>
      <c r="B16" s="5">
        <f t="shared" si="2"/>
        <v>15</v>
      </c>
      <c r="C16" s="16" t="s">
        <v>27</v>
      </c>
      <c r="D16" s="7">
        <v>1.0</v>
      </c>
      <c r="E16" s="8">
        <f t="shared" si="3"/>
        <v>45717</v>
      </c>
      <c r="F16" s="8">
        <f t="shared" si="1"/>
        <v>45718</v>
      </c>
      <c r="G16" s="9">
        <f t="shared" si="4"/>
        <v>14</v>
      </c>
      <c r="H16" s="7" t="s">
        <v>1373</v>
      </c>
    </row>
    <row r="17" ht="22.5" customHeight="1">
      <c r="A17" s="19"/>
      <c r="B17" s="5">
        <f t="shared" si="2"/>
        <v>16</v>
      </c>
      <c r="C17" s="16" t="s">
        <v>28</v>
      </c>
      <c r="D17" s="7">
        <v>1.0</v>
      </c>
      <c r="E17" s="8">
        <f t="shared" si="3"/>
        <v>45718</v>
      </c>
      <c r="F17" s="8">
        <f t="shared" si="1"/>
        <v>45719</v>
      </c>
      <c r="G17" s="9">
        <f t="shared" si="4"/>
        <v>15</v>
      </c>
      <c r="H17" s="7" t="s">
        <v>1383</v>
      </c>
    </row>
    <row r="18" ht="22.5" customHeight="1">
      <c r="A18" s="19"/>
      <c r="B18" s="5">
        <f t="shared" si="2"/>
        <v>17</v>
      </c>
      <c r="C18" s="16" t="s">
        <v>29</v>
      </c>
      <c r="D18" s="7">
        <v>4.0</v>
      </c>
      <c r="E18" s="8">
        <f t="shared" si="3"/>
        <v>45719</v>
      </c>
      <c r="F18" s="8">
        <f t="shared" si="1"/>
        <v>45723</v>
      </c>
      <c r="G18" s="9">
        <f t="shared" si="4"/>
        <v>16</v>
      </c>
      <c r="H18" s="7" t="s">
        <v>1373</v>
      </c>
    </row>
    <row r="19" ht="22.5" customHeight="1">
      <c r="A19" s="19"/>
      <c r="B19" s="5">
        <f t="shared" si="2"/>
        <v>18</v>
      </c>
      <c r="C19" s="20" t="s">
        <v>30</v>
      </c>
      <c r="D19" s="7">
        <v>1.0</v>
      </c>
      <c r="E19" s="8">
        <f t="shared" si="3"/>
        <v>45723</v>
      </c>
      <c r="F19" s="8">
        <f t="shared" si="1"/>
        <v>45724</v>
      </c>
      <c r="G19" s="9">
        <f t="shared" si="4"/>
        <v>17</v>
      </c>
      <c r="H19" s="7" t="s">
        <v>1380</v>
      </c>
    </row>
    <row r="20" ht="22.5" customHeight="1">
      <c r="A20" s="19"/>
      <c r="B20" s="5">
        <f t="shared" si="2"/>
        <v>19</v>
      </c>
      <c r="C20" s="20" t="s">
        <v>31</v>
      </c>
      <c r="D20" s="7">
        <v>1.0</v>
      </c>
      <c r="E20" s="8">
        <f t="shared" si="3"/>
        <v>45724</v>
      </c>
      <c r="F20" s="8">
        <f t="shared" si="1"/>
        <v>45725</v>
      </c>
      <c r="G20" s="9">
        <f t="shared" si="4"/>
        <v>18</v>
      </c>
      <c r="H20" s="7" t="s">
        <v>1380</v>
      </c>
    </row>
    <row r="21" ht="22.5" customHeight="1">
      <c r="A21" s="19"/>
      <c r="B21" s="5">
        <f t="shared" si="2"/>
        <v>20</v>
      </c>
      <c r="C21" s="16" t="s">
        <v>32</v>
      </c>
      <c r="D21" s="21">
        <v>10.0</v>
      </c>
      <c r="E21" s="8">
        <f>F18</f>
        <v>45723</v>
      </c>
      <c r="F21" s="22">
        <f t="shared" si="1"/>
        <v>45733</v>
      </c>
      <c r="G21" s="9">
        <f t="shared" si="4"/>
        <v>19</v>
      </c>
      <c r="H21" s="7" t="s">
        <v>1380</v>
      </c>
    </row>
    <row r="22" ht="22.5" customHeight="1">
      <c r="A22" s="19"/>
      <c r="B22" s="5">
        <f t="shared" si="2"/>
        <v>21</v>
      </c>
      <c r="C22" s="16" t="s">
        <v>33</v>
      </c>
      <c r="D22" s="7">
        <v>1.0</v>
      </c>
      <c r="E22" s="8">
        <f t="shared" ref="E22:E30" si="5">F21</f>
        <v>45733</v>
      </c>
      <c r="F22" s="8">
        <f t="shared" si="1"/>
        <v>45734</v>
      </c>
      <c r="G22" s="9">
        <f t="shared" si="4"/>
        <v>20</v>
      </c>
      <c r="H22" s="7" t="s">
        <v>1380</v>
      </c>
    </row>
    <row r="23" ht="22.5" customHeight="1">
      <c r="A23" s="19"/>
      <c r="B23" s="5">
        <f t="shared" si="2"/>
        <v>22</v>
      </c>
      <c r="C23" s="16" t="s">
        <v>34</v>
      </c>
      <c r="D23" s="23">
        <v>8.0</v>
      </c>
      <c r="E23" s="8">
        <f t="shared" si="5"/>
        <v>45734</v>
      </c>
      <c r="F23" s="24">
        <f t="shared" si="1"/>
        <v>45742</v>
      </c>
      <c r="G23" s="9">
        <f t="shared" si="4"/>
        <v>21</v>
      </c>
      <c r="H23" s="7" t="s">
        <v>1380</v>
      </c>
    </row>
    <row r="24" ht="22.5" customHeight="1">
      <c r="A24" s="19"/>
      <c r="B24" s="5">
        <f t="shared" si="2"/>
        <v>23</v>
      </c>
      <c r="C24" s="16" t="s">
        <v>35</v>
      </c>
      <c r="D24" s="7">
        <v>1.0</v>
      </c>
      <c r="E24" s="8">
        <f t="shared" si="5"/>
        <v>45742</v>
      </c>
      <c r="F24" s="8">
        <f t="shared" si="1"/>
        <v>45743</v>
      </c>
      <c r="G24" s="9">
        <f t="shared" si="4"/>
        <v>22</v>
      </c>
      <c r="H24" s="7" t="s">
        <v>1380</v>
      </c>
    </row>
    <row r="25" ht="22.5" customHeight="1">
      <c r="A25" s="19"/>
      <c r="B25" s="5">
        <f t="shared" si="2"/>
        <v>24</v>
      </c>
      <c r="C25" s="16" t="s">
        <v>36</v>
      </c>
      <c r="D25" s="7">
        <v>1.0</v>
      </c>
      <c r="E25" s="8">
        <f t="shared" si="5"/>
        <v>45743</v>
      </c>
      <c r="F25" s="8">
        <f t="shared" si="1"/>
        <v>45744</v>
      </c>
      <c r="G25" s="9">
        <f t="shared" si="4"/>
        <v>23</v>
      </c>
      <c r="H25" s="7" t="s">
        <v>1373</v>
      </c>
    </row>
    <row r="26" ht="22.5" customHeight="1">
      <c r="A26" s="19"/>
      <c r="B26" s="5">
        <f t="shared" si="2"/>
        <v>25</v>
      </c>
      <c r="C26" s="16" t="s">
        <v>37</v>
      </c>
      <c r="D26" s="7">
        <v>1.0</v>
      </c>
      <c r="E26" s="8">
        <f t="shared" si="5"/>
        <v>45744</v>
      </c>
      <c r="F26" s="8">
        <f t="shared" si="1"/>
        <v>45745</v>
      </c>
      <c r="G26" s="9">
        <f t="shared" si="4"/>
        <v>24</v>
      </c>
      <c r="H26" s="7" t="s">
        <v>1373</v>
      </c>
    </row>
    <row r="27" ht="22.5" customHeight="1">
      <c r="A27" s="19"/>
      <c r="B27" s="5">
        <f t="shared" si="2"/>
        <v>26</v>
      </c>
      <c r="C27" s="16" t="s">
        <v>38</v>
      </c>
      <c r="D27" s="7">
        <v>4.0</v>
      </c>
      <c r="E27" s="8">
        <f t="shared" si="5"/>
        <v>45745</v>
      </c>
      <c r="F27" s="8">
        <f t="shared" si="1"/>
        <v>45749</v>
      </c>
      <c r="G27" s="9">
        <f t="shared" si="4"/>
        <v>25</v>
      </c>
      <c r="H27" s="7" t="s">
        <v>1384</v>
      </c>
    </row>
    <row r="28" ht="22.5" customHeight="1">
      <c r="A28" s="25" t="s">
        <v>39</v>
      </c>
      <c r="B28" s="5">
        <f t="shared" si="2"/>
        <v>27</v>
      </c>
      <c r="C28" s="26" t="s">
        <v>40</v>
      </c>
      <c r="D28" s="7">
        <v>1.0</v>
      </c>
      <c r="E28" s="8">
        <f t="shared" si="5"/>
        <v>45749</v>
      </c>
      <c r="F28" s="8">
        <f t="shared" si="1"/>
        <v>45750</v>
      </c>
      <c r="G28" s="9">
        <f t="shared" si="4"/>
        <v>26</v>
      </c>
      <c r="H28" s="7" t="s">
        <v>1373</v>
      </c>
    </row>
    <row r="29" ht="22.5" customHeight="1">
      <c r="A29" s="27"/>
      <c r="B29" s="5">
        <f t="shared" si="2"/>
        <v>28</v>
      </c>
      <c r="C29" s="26" t="s">
        <v>41</v>
      </c>
      <c r="D29" s="7">
        <v>1.0</v>
      </c>
      <c r="E29" s="8">
        <f t="shared" si="5"/>
        <v>45750</v>
      </c>
      <c r="F29" s="8">
        <f t="shared" si="1"/>
        <v>45751</v>
      </c>
      <c r="G29" s="9">
        <f t="shared" si="4"/>
        <v>27</v>
      </c>
      <c r="H29" s="7" t="s">
        <v>1373</v>
      </c>
    </row>
    <row r="30" ht="22.5" customHeight="1">
      <c r="A30" s="27"/>
      <c r="B30" s="5">
        <f t="shared" si="2"/>
        <v>29</v>
      </c>
      <c r="C30" s="26" t="s">
        <v>42</v>
      </c>
      <c r="D30" s="7">
        <v>3.0</v>
      </c>
      <c r="E30" s="8">
        <f t="shared" si="5"/>
        <v>45751</v>
      </c>
      <c r="F30" s="8">
        <f t="shared" si="1"/>
        <v>45754</v>
      </c>
      <c r="G30" s="9">
        <f t="shared" si="4"/>
        <v>28</v>
      </c>
      <c r="H30" s="7" t="s">
        <v>1383</v>
      </c>
    </row>
    <row r="31" ht="22.5" customHeight="1">
      <c r="A31" s="27"/>
      <c r="B31" s="28">
        <f t="shared" si="2"/>
        <v>30</v>
      </c>
      <c r="C31" s="29" t="s">
        <v>43</v>
      </c>
      <c r="D31" s="66">
        <v>1.0</v>
      </c>
      <c r="E31" s="334">
        <f t="shared" ref="E31:E32" si="6">F29</f>
        <v>45751</v>
      </c>
      <c r="F31" s="334">
        <f t="shared" si="1"/>
        <v>45752</v>
      </c>
      <c r="G31" s="335">
        <f t="shared" si="4"/>
        <v>29</v>
      </c>
      <c r="H31" s="66" t="s">
        <v>1373</v>
      </c>
    </row>
    <row r="32" ht="22.5" customHeight="1">
      <c r="A32" s="27"/>
      <c r="B32" s="5">
        <f t="shared" si="2"/>
        <v>31</v>
      </c>
      <c r="C32" s="26" t="s">
        <v>44</v>
      </c>
      <c r="D32" s="7">
        <v>5.0</v>
      </c>
      <c r="E32" s="8">
        <f t="shared" si="6"/>
        <v>45754</v>
      </c>
      <c r="F32" s="8">
        <f t="shared" si="1"/>
        <v>45759</v>
      </c>
      <c r="G32" s="9">
        <f>B30</f>
        <v>29</v>
      </c>
      <c r="H32" s="7" t="s">
        <v>1383</v>
      </c>
    </row>
    <row r="33" ht="22.5" customHeight="1">
      <c r="A33" s="27"/>
      <c r="B33" s="5">
        <f t="shared" si="2"/>
        <v>32</v>
      </c>
      <c r="C33" s="26" t="s">
        <v>45</v>
      </c>
      <c r="D33" s="7">
        <v>1.0</v>
      </c>
      <c r="E33" s="8">
        <f t="shared" ref="E33:E62" si="7">F32</f>
        <v>45759</v>
      </c>
      <c r="F33" s="8">
        <f t="shared" si="1"/>
        <v>45760</v>
      </c>
      <c r="G33" s="9">
        <f t="shared" ref="G33:G40" si="8">B32</f>
        <v>31</v>
      </c>
      <c r="H33" s="7" t="s">
        <v>1374</v>
      </c>
    </row>
    <row r="34" ht="22.5" customHeight="1">
      <c r="A34" s="27"/>
      <c r="B34" s="5">
        <f t="shared" si="2"/>
        <v>33</v>
      </c>
      <c r="C34" s="26" t="s">
        <v>1385</v>
      </c>
      <c r="D34" s="7">
        <v>2.0</v>
      </c>
      <c r="E34" s="8">
        <f t="shared" si="7"/>
        <v>45760</v>
      </c>
      <c r="F34" s="8">
        <f t="shared" si="1"/>
        <v>45762</v>
      </c>
      <c r="G34" s="9">
        <f t="shared" si="8"/>
        <v>32</v>
      </c>
      <c r="H34" s="7" t="s">
        <v>1386</v>
      </c>
    </row>
    <row r="35" ht="22.5" customHeight="1">
      <c r="A35" s="27"/>
      <c r="B35" s="5">
        <f t="shared" si="2"/>
        <v>34</v>
      </c>
      <c r="C35" s="26" t="s">
        <v>47</v>
      </c>
      <c r="D35" s="7">
        <v>2.0</v>
      </c>
      <c r="E35" s="8">
        <f t="shared" si="7"/>
        <v>45762</v>
      </c>
      <c r="F35" s="8">
        <f t="shared" si="1"/>
        <v>45764</v>
      </c>
      <c r="G35" s="9">
        <f t="shared" si="8"/>
        <v>33</v>
      </c>
      <c r="H35" s="7" t="s">
        <v>1387</v>
      </c>
    </row>
    <row r="36" ht="22.5" customHeight="1">
      <c r="A36" s="27"/>
      <c r="B36" s="5">
        <f t="shared" si="2"/>
        <v>35</v>
      </c>
      <c r="C36" s="26" t="s">
        <v>48</v>
      </c>
      <c r="D36" s="7">
        <v>2.0</v>
      </c>
      <c r="E36" s="8">
        <f t="shared" si="7"/>
        <v>45764</v>
      </c>
      <c r="F36" s="8">
        <f t="shared" si="1"/>
        <v>45766</v>
      </c>
      <c r="G36" s="9">
        <f t="shared" si="8"/>
        <v>34</v>
      </c>
      <c r="H36" s="7" t="s">
        <v>1388</v>
      </c>
    </row>
    <row r="37" ht="22.5" customHeight="1">
      <c r="A37" s="32" t="s">
        <v>50</v>
      </c>
      <c r="B37" s="5">
        <f t="shared" si="2"/>
        <v>36</v>
      </c>
      <c r="C37" s="33" t="s">
        <v>51</v>
      </c>
      <c r="D37" s="7">
        <v>1.0</v>
      </c>
      <c r="E37" s="8">
        <f t="shared" si="7"/>
        <v>45766</v>
      </c>
      <c r="F37" s="8">
        <f t="shared" si="1"/>
        <v>45767</v>
      </c>
      <c r="G37" s="9">
        <f t="shared" si="8"/>
        <v>35</v>
      </c>
      <c r="H37" s="7" t="s">
        <v>1377</v>
      </c>
    </row>
    <row r="38" ht="22.5" customHeight="1">
      <c r="A38" s="34"/>
      <c r="B38" s="5">
        <f t="shared" si="2"/>
        <v>37</v>
      </c>
      <c r="C38" s="35" t="s">
        <v>52</v>
      </c>
      <c r="D38" s="7">
        <v>2.0</v>
      </c>
      <c r="E38" s="8">
        <f t="shared" si="7"/>
        <v>45767</v>
      </c>
      <c r="F38" s="8">
        <f t="shared" si="1"/>
        <v>45769</v>
      </c>
      <c r="G38" s="9">
        <f t="shared" si="8"/>
        <v>36</v>
      </c>
      <c r="H38" s="7" t="s">
        <v>1389</v>
      </c>
    </row>
    <row r="39" ht="22.5" customHeight="1">
      <c r="A39" s="34"/>
      <c r="B39" s="5">
        <f t="shared" si="2"/>
        <v>38</v>
      </c>
      <c r="C39" s="33" t="s">
        <v>53</v>
      </c>
      <c r="D39" s="7">
        <v>4.0</v>
      </c>
      <c r="E39" s="8">
        <f t="shared" si="7"/>
        <v>45769</v>
      </c>
      <c r="F39" s="8">
        <f t="shared" si="1"/>
        <v>45773</v>
      </c>
      <c r="G39" s="9">
        <f t="shared" si="8"/>
        <v>37</v>
      </c>
      <c r="H39" s="7" t="s">
        <v>1389</v>
      </c>
    </row>
    <row r="40" ht="22.5" customHeight="1">
      <c r="A40" s="34"/>
      <c r="B40" s="5">
        <f t="shared" si="2"/>
        <v>39</v>
      </c>
      <c r="C40" s="33" t="s">
        <v>54</v>
      </c>
      <c r="D40" s="7">
        <v>1.0</v>
      </c>
      <c r="E40" s="8">
        <f t="shared" si="7"/>
        <v>45773</v>
      </c>
      <c r="F40" s="8">
        <f t="shared" si="1"/>
        <v>45774</v>
      </c>
      <c r="G40" s="9">
        <f t="shared" si="8"/>
        <v>38</v>
      </c>
      <c r="H40" s="7" t="s">
        <v>1378</v>
      </c>
    </row>
    <row r="41" ht="22.5" customHeight="1">
      <c r="A41" s="36" t="s">
        <v>55</v>
      </c>
      <c r="B41" s="5">
        <f t="shared" si="2"/>
        <v>40</v>
      </c>
      <c r="C41" s="37" t="s">
        <v>56</v>
      </c>
      <c r="D41" s="7">
        <v>2.0</v>
      </c>
      <c r="E41" s="8">
        <f t="shared" si="7"/>
        <v>45774</v>
      </c>
      <c r="F41" s="8">
        <f t="shared" si="1"/>
        <v>45776</v>
      </c>
      <c r="G41" s="9">
        <f>B36</f>
        <v>35</v>
      </c>
      <c r="H41" s="7" t="s">
        <v>1389</v>
      </c>
    </row>
    <row r="42" ht="22.5" customHeight="1">
      <c r="A42" s="38"/>
      <c r="B42" s="5">
        <f t="shared" si="2"/>
        <v>41</v>
      </c>
      <c r="C42" s="39" t="s">
        <v>57</v>
      </c>
      <c r="D42" s="7">
        <v>4.0</v>
      </c>
      <c r="E42" s="8">
        <f t="shared" si="7"/>
        <v>45776</v>
      </c>
      <c r="F42" s="8">
        <f t="shared" si="1"/>
        <v>45780</v>
      </c>
      <c r="G42" s="9">
        <f t="shared" ref="G42:G44" si="9">B41</f>
        <v>40</v>
      </c>
      <c r="H42" s="7" t="s">
        <v>1389</v>
      </c>
    </row>
    <row r="43" ht="22.5" customHeight="1">
      <c r="A43" s="38"/>
      <c r="B43" s="5">
        <f t="shared" si="2"/>
        <v>42</v>
      </c>
      <c r="C43" s="37" t="s">
        <v>58</v>
      </c>
      <c r="D43" s="7">
        <v>1.0</v>
      </c>
      <c r="E43" s="8">
        <f t="shared" si="7"/>
        <v>45780</v>
      </c>
      <c r="F43" s="8">
        <f t="shared" si="1"/>
        <v>45781</v>
      </c>
      <c r="G43" s="9">
        <f t="shared" si="9"/>
        <v>41</v>
      </c>
      <c r="H43" s="7" t="s">
        <v>1379</v>
      </c>
    </row>
    <row r="44" ht="18.75" customHeight="1">
      <c r="A44" s="40"/>
      <c r="B44" s="5">
        <f t="shared" si="2"/>
        <v>43</v>
      </c>
      <c r="C44" s="39" t="s">
        <v>59</v>
      </c>
      <c r="D44" s="7">
        <v>2.0</v>
      </c>
      <c r="E44" s="8">
        <f t="shared" si="7"/>
        <v>45781</v>
      </c>
      <c r="F44" s="8">
        <f t="shared" si="1"/>
        <v>45783</v>
      </c>
      <c r="G44" s="9">
        <f t="shared" si="9"/>
        <v>42</v>
      </c>
      <c r="H44" s="7" t="s">
        <v>1389</v>
      </c>
    </row>
    <row r="45" ht="22.5" customHeight="1">
      <c r="A45" s="41" t="s">
        <v>60</v>
      </c>
      <c r="B45" s="5">
        <f t="shared" si="2"/>
        <v>44</v>
      </c>
      <c r="C45" s="42" t="s">
        <v>61</v>
      </c>
      <c r="D45" s="43">
        <v>4.0</v>
      </c>
      <c r="E45" s="8">
        <f t="shared" si="7"/>
        <v>45783</v>
      </c>
      <c r="F45" s="8">
        <f t="shared" si="1"/>
        <v>45787</v>
      </c>
      <c r="G45" s="9">
        <f>B36</f>
        <v>35</v>
      </c>
      <c r="H45" s="7" t="s">
        <v>1389</v>
      </c>
    </row>
    <row r="46" ht="22.5" customHeight="1">
      <c r="A46" s="41"/>
      <c r="B46" s="5">
        <f t="shared" si="2"/>
        <v>45</v>
      </c>
      <c r="C46" s="42" t="s">
        <v>62</v>
      </c>
      <c r="D46" s="43">
        <v>2.0</v>
      </c>
      <c r="E46" s="8">
        <f t="shared" si="7"/>
        <v>45787</v>
      </c>
      <c r="F46" s="44">
        <f t="shared" si="1"/>
        <v>45789</v>
      </c>
      <c r="G46" s="9">
        <f t="shared" ref="G46:G48" si="10">B45</f>
        <v>44</v>
      </c>
      <c r="H46" s="7" t="s">
        <v>1377</v>
      </c>
    </row>
    <row r="47" ht="22.5" customHeight="1">
      <c r="A47" s="45"/>
      <c r="B47" s="5">
        <f t="shared" si="2"/>
        <v>46</v>
      </c>
      <c r="C47" s="46" t="s">
        <v>63</v>
      </c>
      <c r="D47" s="43">
        <v>2.0</v>
      </c>
      <c r="E47" s="8">
        <f t="shared" si="7"/>
        <v>45789</v>
      </c>
      <c r="F47" s="44">
        <f t="shared" si="1"/>
        <v>45791</v>
      </c>
      <c r="G47" s="9">
        <f t="shared" si="10"/>
        <v>45</v>
      </c>
      <c r="H47" s="7" t="s">
        <v>1378</v>
      </c>
    </row>
    <row r="48" ht="22.5" customHeight="1">
      <c r="A48" s="41"/>
      <c r="B48" s="47">
        <f t="shared" si="2"/>
        <v>47</v>
      </c>
      <c r="C48" s="48" t="s">
        <v>64</v>
      </c>
      <c r="D48" s="117">
        <v>2.0</v>
      </c>
      <c r="E48" s="50">
        <f t="shared" si="7"/>
        <v>45791</v>
      </c>
      <c r="F48" s="51">
        <f t="shared" si="1"/>
        <v>45793</v>
      </c>
      <c r="G48" s="52">
        <f t="shared" si="10"/>
        <v>46</v>
      </c>
      <c r="H48" s="53" t="s">
        <v>1379</v>
      </c>
    </row>
    <row r="49" ht="22.5" customHeight="1">
      <c r="A49" s="54" t="s">
        <v>8</v>
      </c>
      <c r="B49" s="55">
        <f t="shared" si="2"/>
        <v>48</v>
      </c>
      <c r="C49" s="56" t="s">
        <v>65</v>
      </c>
      <c r="D49" s="7">
        <v>4.0</v>
      </c>
      <c r="E49" s="58">
        <f t="shared" si="7"/>
        <v>45793</v>
      </c>
      <c r="F49" s="59">
        <f t="shared" si="1"/>
        <v>45797</v>
      </c>
      <c r="G49" s="60">
        <f>B2</f>
        <v>1</v>
      </c>
      <c r="H49" s="90" t="s">
        <v>1373</v>
      </c>
    </row>
    <row r="50" ht="22.5" customHeight="1">
      <c r="A50" s="61"/>
      <c r="B50" s="43">
        <f t="shared" si="2"/>
        <v>49</v>
      </c>
      <c r="C50" s="62" t="s">
        <v>66</v>
      </c>
      <c r="D50" s="7">
        <v>7.0</v>
      </c>
      <c r="E50" s="8">
        <f t="shared" si="7"/>
        <v>45797</v>
      </c>
      <c r="F50" s="58">
        <f t="shared" si="1"/>
        <v>45804</v>
      </c>
      <c r="G50" s="60">
        <f>B2</f>
        <v>1</v>
      </c>
      <c r="H50" s="7" t="s">
        <v>1373</v>
      </c>
    </row>
    <row r="51" ht="22.5" customHeight="1">
      <c r="A51" s="61"/>
      <c r="B51" s="43">
        <f t="shared" si="2"/>
        <v>50</v>
      </c>
      <c r="C51" s="62" t="s">
        <v>67</v>
      </c>
      <c r="D51" s="7">
        <v>7.0</v>
      </c>
      <c r="E51" s="8">
        <f t="shared" si="7"/>
        <v>45804</v>
      </c>
      <c r="F51" s="58">
        <f t="shared" si="1"/>
        <v>45811</v>
      </c>
      <c r="G51" s="60">
        <f>B2</f>
        <v>1</v>
      </c>
      <c r="H51" s="7" t="s">
        <v>1373</v>
      </c>
    </row>
    <row r="52" ht="22.5" customHeight="1">
      <c r="A52" s="61"/>
      <c r="B52" s="43">
        <f t="shared" si="2"/>
        <v>51</v>
      </c>
      <c r="C52" s="62" t="s">
        <v>68</v>
      </c>
      <c r="D52" s="7">
        <v>7.0</v>
      </c>
      <c r="E52" s="8">
        <f t="shared" si="7"/>
        <v>45811</v>
      </c>
      <c r="F52" s="58">
        <f t="shared" si="1"/>
        <v>45818</v>
      </c>
      <c r="G52" s="60">
        <f>B2</f>
        <v>1</v>
      </c>
      <c r="H52" s="7" t="s">
        <v>1373</v>
      </c>
    </row>
    <row r="53" ht="22.5" customHeight="1">
      <c r="A53" s="15" t="s">
        <v>20</v>
      </c>
      <c r="B53" s="43">
        <f t="shared" si="2"/>
        <v>52</v>
      </c>
      <c r="C53" s="63" t="s">
        <v>69</v>
      </c>
      <c r="D53" s="17">
        <v>1.0</v>
      </c>
      <c r="E53" s="8">
        <f t="shared" si="7"/>
        <v>45818</v>
      </c>
      <c r="F53" s="8">
        <f t="shared" si="1"/>
        <v>45819</v>
      </c>
      <c r="G53" s="9">
        <f>B5</f>
        <v>4</v>
      </c>
      <c r="H53" s="7" t="s">
        <v>1373</v>
      </c>
    </row>
    <row r="54" ht="22.5" customHeight="1">
      <c r="A54" s="19"/>
      <c r="B54" s="65">
        <f t="shared" si="2"/>
        <v>53</v>
      </c>
      <c r="C54" s="63" t="s">
        <v>70</v>
      </c>
      <c r="D54" s="7">
        <v>1.0</v>
      </c>
      <c r="E54" s="8">
        <f t="shared" si="7"/>
        <v>45819</v>
      </c>
      <c r="F54" s="8">
        <f t="shared" si="1"/>
        <v>45820</v>
      </c>
      <c r="G54" s="9">
        <f t="shared" ref="G54:G73" si="11">B53</f>
        <v>52</v>
      </c>
      <c r="H54" s="7" t="s">
        <v>1380</v>
      </c>
    </row>
    <row r="55" ht="22.5" customHeight="1">
      <c r="A55" s="19"/>
      <c r="B55" s="65">
        <f t="shared" si="2"/>
        <v>54</v>
      </c>
      <c r="C55" s="63" t="s">
        <v>1390</v>
      </c>
      <c r="D55" s="7">
        <v>1.0</v>
      </c>
      <c r="E55" s="8">
        <f t="shared" si="7"/>
        <v>45820</v>
      </c>
      <c r="F55" s="8">
        <f t="shared" si="1"/>
        <v>45821</v>
      </c>
      <c r="G55" s="9">
        <f t="shared" si="11"/>
        <v>53</v>
      </c>
      <c r="H55" s="7" t="s">
        <v>1373</v>
      </c>
    </row>
    <row r="56" ht="22.5" customHeight="1">
      <c r="A56" s="18"/>
      <c r="B56" s="5">
        <f t="shared" si="2"/>
        <v>55</v>
      </c>
      <c r="C56" s="16" t="s">
        <v>72</v>
      </c>
      <c r="D56" s="7">
        <v>3.0</v>
      </c>
      <c r="E56" s="8">
        <f t="shared" si="7"/>
        <v>45821</v>
      </c>
      <c r="F56" s="8">
        <f t="shared" si="1"/>
        <v>45824</v>
      </c>
      <c r="G56" s="9">
        <f t="shared" si="11"/>
        <v>54</v>
      </c>
      <c r="H56" s="7" t="s">
        <v>1382</v>
      </c>
    </row>
    <row r="57" ht="22.5" customHeight="1">
      <c r="A57" s="18"/>
      <c r="B57" s="5">
        <f t="shared" si="2"/>
        <v>56</v>
      </c>
      <c r="C57" s="16" t="s">
        <v>73</v>
      </c>
      <c r="D57" s="7">
        <v>1.0</v>
      </c>
      <c r="E57" s="8">
        <f t="shared" si="7"/>
        <v>45824</v>
      </c>
      <c r="F57" s="8">
        <f t="shared" si="1"/>
        <v>45825</v>
      </c>
      <c r="G57" s="9">
        <f t="shared" si="11"/>
        <v>55</v>
      </c>
      <c r="H57" s="7" t="s">
        <v>1373</v>
      </c>
    </row>
    <row r="58" ht="22.5" customHeight="1">
      <c r="A58" s="19"/>
      <c r="B58" s="5">
        <f t="shared" si="2"/>
        <v>57</v>
      </c>
      <c r="C58" s="16" t="s">
        <v>74</v>
      </c>
      <c r="D58" s="7">
        <v>1.0</v>
      </c>
      <c r="E58" s="8">
        <f t="shared" si="7"/>
        <v>45825</v>
      </c>
      <c r="F58" s="8">
        <f t="shared" si="1"/>
        <v>45826</v>
      </c>
      <c r="G58" s="9">
        <f t="shared" si="11"/>
        <v>56</v>
      </c>
      <c r="H58" s="7" t="s">
        <v>1383</v>
      </c>
    </row>
    <row r="59" ht="22.5" customHeight="1">
      <c r="A59" s="19"/>
      <c r="B59" s="5">
        <f t="shared" si="2"/>
        <v>58</v>
      </c>
      <c r="C59" s="16" t="s">
        <v>75</v>
      </c>
      <c r="D59" s="7">
        <v>1.0</v>
      </c>
      <c r="E59" s="8">
        <f t="shared" si="7"/>
        <v>45826</v>
      </c>
      <c r="F59" s="8">
        <f t="shared" si="1"/>
        <v>45827</v>
      </c>
      <c r="G59" s="9">
        <f t="shared" si="11"/>
        <v>57</v>
      </c>
      <c r="H59" s="7" t="s">
        <v>1373</v>
      </c>
    </row>
    <row r="60" ht="22.5" customHeight="1">
      <c r="A60" s="19"/>
      <c r="B60" s="5">
        <f t="shared" si="2"/>
        <v>59</v>
      </c>
      <c r="C60" s="16" t="s">
        <v>29</v>
      </c>
      <c r="D60" s="7">
        <v>4.0</v>
      </c>
      <c r="E60" s="8">
        <f t="shared" si="7"/>
        <v>45827</v>
      </c>
      <c r="F60" s="8">
        <f t="shared" si="1"/>
        <v>45831</v>
      </c>
      <c r="G60" s="9">
        <f t="shared" si="11"/>
        <v>58</v>
      </c>
      <c r="H60" s="7" t="s">
        <v>1373</v>
      </c>
    </row>
    <row r="61" ht="22.5" customHeight="1">
      <c r="A61" s="19"/>
      <c r="B61" s="5">
        <f t="shared" si="2"/>
        <v>60</v>
      </c>
      <c r="C61" s="20" t="s">
        <v>30</v>
      </c>
      <c r="D61" s="7">
        <v>1.0</v>
      </c>
      <c r="E61" s="8">
        <f t="shared" si="7"/>
        <v>45831</v>
      </c>
      <c r="F61" s="8">
        <f t="shared" si="1"/>
        <v>45832</v>
      </c>
      <c r="G61" s="9">
        <f t="shared" si="11"/>
        <v>59</v>
      </c>
      <c r="H61" s="7" t="s">
        <v>1380</v>
      </c>
    </row>
    <row r="62" ht="22.5" customHeight="1">
      <c r="A62" s="19"/>
      <c r="B62" s="5">
        <f t="shared" si="2"/>
        <v>61</v>
      </c>
      <c r="C62" s="20" t="s">
        <v>31</v>
      </c>
      <c r="D62" s="7">
        <v>1.0</v>
      </c>
      <c r="E62" s="8">
        <f t="shared" si="7"/>
        <v>45832</v>
      </c>
      <c r="F62" s="8">
        <f t="shared" si="1"/>
        <v>45833</v>
      </c>
      <c r="G62" s="9">
        <f t="shared" si="11"/>
        <v>60</v>
      </c>
      <c r="H62" s="7" t="s">
        <v>1380</v>
      </c>
    </row>
    <row r="63" ht="22.5" customHeight="1">
      <c r="A63" s="19"/>
      <c r="B63" s="5">
        <f t="shared" si="2"/>
        <v>62</v>
      </c>
      <c r="C63" s="16" t="s">
        <v>32</v>
      </c>
      <c r="D63" s="21">
        <v>10.0</v>
      </c>
      <c r="E63" s="8">
        <f>F60</f>
        <v>45831</v>
      </c>
      <c r="F63" s="22">
        <f t="shared" si="1"/>
        <v>45841</v>
      </c>
      <c r="G63" s="9">
        <f t="shared" si="11"/>
        <v>61</v>
      </c>
      <c r="H63" s="7" t="s">
        <v>1380</v>
      </c>
    </row>
    <row r="64" ht="22.5" customHeight="1">
      <c r="A64" s="19"/>
      <c r="B64" s="5">
        <f t="shared" si="2"/>
        <v>63</v>
      </c>
      <c r="C64" s="16" t="s">
        <v>76</v>
      </c>
      <c r="D64" s="7">
        <v>1.0</v>
      </c>
      <c r="E64" s="8">
        <f t="shared" ref="E64:E72" si="12">F63</f>
        <v>45841</v>
      </c>
      <c r="F64" s="8">
        <f t="shared" si="1"/>
        <v>45842</v>
      </c>
      <c r="G64" s="9">
        <f t="shared" si="11"/>
        <v>62</v>
      </c>
      <c r="H64" s="7" t="s">
        <v>1380</v>
      </c>
    </row>
    <row r="65" ht="22.5" customHeight="1">
      <c r="A65" s="19"/>
      <c r="B65" s="5">
        <f t="shared" si="2"/>
        <v>64</v>
      </c>
      <c r="C65" s="16" t="s">
        <v>77</v>
      </c>
      <c r="D65" s="23">
        <v>8.0</v>
      </c>
      <c r="E65" s="8">
        <f t="shared" si="12"/>
        <v>45842</v>
      </c>
      <c r="F65" s="24">
        <f t="shared" si="1"/>
        <v>45850</v>
      </c>
      <c r="G65" s="9">
        <f t="shared" si="11"/>
        <v>63</v>
      </c>
      <c r="H65" s="7" t="s">
        <v>1380</v>
      </c>
    </row>
    <row r="66" ht="22.5" customHeight="1">
      <c r="A66" s="19"/>
      <c r="B66" s="5">
        <f t="shared" si="2"/>
        <v>65</v>
      </c>
      <c r="C66" s="16" t="s">
        <v>35</v>
      </c>
      <c r="D66" s="7">
        <v>1.0</v>
      </c>
      <c r="E66" s="8">
        <f t="shared" si="12"/>
        <v>45850</v>
      </c>
      <c r="F66" s="8">
        <f t="shared" si="1"/>
        <v>45851</v>
      </c>
      <c r="G66" s="9">
        <f t="shared" si="11"/>
        <v>64</v>
      </c>
      <c r="H66" s="7" t="s">
        <v>1380</v>
      </c>
    </row>
    <row r="67" ht="22.5" customHeight="1">
      <c r="A67" s="19"/>
      <c r="B67" s="5">
        <f t="shared" si="2"/>
        <v>66</v>
      </c>
      <c r="C67" s="67" t="s">
        <v>78</v>
      </c>
      <c r="D67" s="7">
        <v>1.0</v>
      </c>
      <c r="E67" s="8">
        <f t="shared" si="12"/>
        <v>45851</v>
      </c>
      <c r="F67" s="8">
        <f t="shared" si="1"/>
        <v>45852</v>
      </c>
      <c r="G67" s="9">
        <f t="shared" si="11"/>
        <v>65</v>
      </c>
      <c r="H67" s="7" t="s">
        <v>1373</v>
      </c>
    </row>
    <row r="68" ht="22.5" customHeight="1">
      <c r="A68" s="19"/>
      <c r="B68" s="5">
        <f t="shared" si="2"/>
        <v>67</v>
      </c>
      <c r="C68" s="67" t="s">
        <v>79</v>
      </c>
      <c r="D68" s="7">
        <v>1.0</v>
      </c>
      <c r="E68" s="8">
        <f t="shared" si="12"/>
        <v>45852</v>
      </c>
      <c r="F68" s="8">
        <f t="shared" si="1"/>
        <v>45853</v>
      </c>
      <c r="G68" s="9">
        <f t="shared" si="11"/>
        <v>66</v>
      </c>
      <c r="H68" s="7" t="s">
        <v>1373</v>
      </c>
    </row>
    <row r="69" ht="22.5" customHeight="1">
      <c r="A69" s="68"/>
      <c r="B69" s="5">
        <f t="shared" si="2"/>
        <v>68</v>
      </c>
      <c r="C69" s="16" t="s">
        <v>80</v>
      </c>
      <c r="D69" s="7">
        <v>4.0</v>
      </c>
      <c r="E69" s="8">
        <f t="shared" si="12"/>
        <v>45853</v>
      </c>
      <c r="F69" s="8">
        <f t="shared" si="1"/>
        <v>45857</v>
      </c>
      <c r="G69" s="9">
        <f t="shared" si="11"/>
        <v>67</v>
      </c>
      <c r="H69" s="7" t="s">
        <v>1384</v>
      </c>
    </row>
    <row r="70" ht="22.5" customHeight="1">
      <c r="A70" s="69" t="s">
        <v>81</v>
      </c>
      <c r="B70" s="5">
        <f t="shared" si="2"/>
        <v>69</v>
      </c>
      <c r="C70" s="26" t="s">
        <v>82</v>
      </c>
      <c r="D70" s="7">
        <v>1.0</v>
      </c>
      <c r="E70" s="8">
        <f t="shared" si="12"/>
        <v>45857</v>
      </c>
      <c r="F70" s="8">
        <f t="shared" si="1"/>
        <v>45858</v>
      </c>
      <c r="G70" s="9">
        <f t="shared" si="11"/>
        <v>68</v>
      </c>
      <c r="H70" s="7" t="s">
        <v>1373</v>
      </c>
    </row>
    <row r="71" ht="22.5" customHeight="1">
      <c r="A71" s="27"/>
      <c r="B71" s="5">
        <f t="shared" si="2"/>
        <v>70</v>
      </c>
      <c r="C71" s="26" t="s">
        <v>83</v>
      </c>
      <c r="D71" s="7">
        <v>1.0</v>
      </c>
      <c r="E71" s="8">
        <f t="shared" si="12"/>
        <v>45858</v>
      </c>
      <c r="F71" s="8">
        <f t="shared" si="1"/>
        <v>45859</v>
      </c>
      <c r="G71" s="9">
        <f t="shared" si="11"/>
        <v>69</v>
      </c>
      <c r="H71" s="7" t="s">
        <v>1373</v>
      </c>
    </row>
    <row r="72" ht="22.5" customHeight="1">
      <c r="A72" s="27"/>
      <c r="B72" s="5">
        <f t="shared" si="2"/>
        <v>71</v>
      </c>
      <c r="C72" s="26" t="s">
        <v>84</v>
      </c>
      <c r="D72" s="7">
        <v>3.0</v>
      </c>
      <c r="E72" s="8">
        <f t="shared" si="12"/>
        <v>45859</v>
      </c>
      <c r="F72" s="8">
        <f t="shared" si="1"/>
        <v>45862</v>
      </c>
      <c r="G72" s="9">
        <f t="shared" si="11"/>
        <v>70</v>
      </c>
      <c r="H72" s="7" t="s">
        <v>1383</v>
      </c>
    </row>
    <row r="73" ht="22.5" customHeight="1">
      <c r="A73" s="27"/>
      <c r="B73" s="43">
        <f t="shared" si="2"/>
        <v>72</v>
      </c>
      <c r="C73" s="29" t="s">
        <v>85</v>
      </c>
      <c r="D73" s="17">
        <v>1.0</v>
      </c>
      <c r="E73" s="58">
        <f t="shared" ref="E73:E74" si="13">F71</f>
        <v>45859</v>
      </c>
      <c r="F73" s="58">
        <f t="shared" si="1"/>
        <v>45860</v>
      </c>
      <c r="G73" s="70">
        <f t="shared" si="11"/>
        <v>71</v>
      </c>
      <c r="H73" s="7" t="s">
        <v>1373</v>
      </c>
    </row>
    <row r="74" ht="22.5" customHeight="1">
      <c r="A74" s="27"/>
      <c r="B74" s="5">
        <f t="shared" si="2"/>
        <v>73</v>
      </c>
      <c r="C74" s="26" t="s">
        <v>86</v>
      </c>
      <c r="D74" s="7">
        <v>5.0</v>
      </c>
      <c r="E74" s="8">
        <f t="shared" si="13"/>
        <v>45862</v>
      </c>
      <c r="F74" s="8">
        <f t="shared" si="1"/>
        <v>45867</v>
      </c>
      <c r="G74" s="9">
        <f>B72</f>
        <v>71</v>
      </c>
      <c r="H74" s="7" t="s">
        <v>1383</v>
      </c>
    </row>
    <row r="75" ht="22.5" customHeight="1">
      <c r="A75" s="27"/>
      <c r="B75" s="5">
        <f t="shared" si="2"/>
        <v>74</v>
      </c>
      <c r="C75" s="26" t="s">
        <v>87</v>
      </c>
      <c r="D75" s="7">
        <v>1.0</v>
      </c>
      <c r="E75" s="8">
        <f t="shared" ref="E75:E118" si="14">F74</f>
        <v>45867</v>
      </c>
      <c r="F75" s="8">
        <f t="shared" si="1"/>
        <v>45868</v>
      </c>
      <c r="G75" s="9">
        <f t="shared" ref="G75:G78" si="15">B74</f>
        <v>73</v>
      </c>
      <c r="H75" s="7" t="s">
        <v>1374</v>
      </c>
    </row>
    <row r="76" ht="22.5" customHeight="1">
      <c r="A76" s="27"/>
      <c r="B76" s="5">
        <f t="shared" si="2"/>
        <v>75</v>
      </c>
      <c r="C76" s="26" t="s">
        <v>88</v>
      </c>
      <c r="D76" s="7">
        <v>2.0</v>
      </c>
      <c r="E76" s="8">
        <f t="shared" si="14"/>
        <v>45868</v>
      </c>
      <c r="F76" s="8">
        <f t="shared" si="1"/>
        <v>45870</v>
      </c>
      <c r="G76" s="9">
        <f t="shared" si="15"/>
        <v>74</v>
      </c>
      <c r="H76" s="7" t="s">
        <v>1386</v>
      </c>
    </row>
    <row r="77" ht="22.5" customHeight="1">
      <c r="A77" s="27"/>
      <c r="B77" s="5">
        <f t="shared" si="2"/>
        <v>76</v>
      </c>
      <c r="C77" s="26" t="s">
        <v>89</v>
      </c>
      <c r="D77" s="7">
        <v>2.0</v>
      </c>
      <c r="E77" s="8">
        <f t="shared" si="14"/>
        <v>45870</v>
      </c>
      <c r="F77" s="8">
        <f t="shared" si="1"/>
        <v>45872</v>
      </c>
      <c r="G77" s="9">
        <f t="shared" si="15"/>
        <v>75</v>
      </c>
      <c r="H77" s="7" t="s">
        <v>1387</v>
      </c>
    </row>
    <row r="78" ht="22.5" customHeight="1">
      <c r="A78" s="27"/>
      <c r="B78" s="5">
        <f t="shared" si="2"/>
        <v>77</v>
      </c>
      <c r="C78" s="26" t="s">
        <v>90</v>
      </c>
      <c r="D78" s="7">
        <v>2.0</v>
      </c>
      <c r="E78" s="8">
        <f t="shared" si="14"/>
        <v>45872</v>
      </c>
      <c r="F78" s="8">
        <f t="shared" si="1"/>
        <v>45874</v>
      </c>
      <c r="G78" s="9">
        <f t="shared" si="15"/>
        <v>76</v>
      </c>
      <c r="H78" s="7" t="s">
        <v>1388</v>
      </c>
    </row>
    <row r="79" ht="22.5" customHeight="1">
      <c r="A79" s="27"/>
      <c r="B79" s="5">
        <f t="shared" si="2"/>
        <v>78</v>
      </c>
      <c r="C79" s="29" t="s">
        <v>91</v>
      </c>
      <c r="D79" s="7">
        <v>1.0</v>
      </c>
      <c r="E79" s="8">
        <f t="shared" si="14"/>
        <v>45874</v>
      </c>
      <c r="F79" s="8">
        <f t="shared" si="1"/>
        <v>45875</v>
      </c>
      <c r="G79" s="9" t="str">
        <f>B49 &amp; "-" &amp; B78</f>
        <v>48-77</v>
      </c>
      <c r="H79" s="7" t="s">
        <v>1373</v>
      </c>
    </row>
    <row r="80" ht="22.5" customHeight="1">
      <c r="A80" s="27"/>
      <c r="B80" s="5">
        <f t="shared" si="2"/>
        <v>79</v>
      </c>
      <c r="C80" s="29" t="s">
        <v>1391</v>
      </c>
      <c r="D80" s="7">
        <v>2.0</v>
      </c>
      <c r="E80" s="8">
        <f t="shared" si="14"/>
        <v>45875</v>
      </c>
      <c r="F80" s="8">
        <f t="shared" si="1"/>
        <v>45877</v>
      </c>
      <c r="G80" s="9">
        <f t="shared" ref="G80:G82" si="16">B79</f>
        <v>78</v>
      </c>
      <c r="H80" s="7" t="s">
        <v>1373</v>
      </c>
    </row>
    <row r="81" ht="22.5" customHeight="1">
      <c r="A81" s="27"/>
      <c r="B81" s="5">
        <f t="shared" si="2"/>
        <v>80</v>
      </c>
      <c r="C81" s="29" t="s">
        <v>93</v>
      </c>
      <c r="D81" s="7">
        <v>4.0</v>
      </c>
      <c r="E81" s="8">
        <f t="shared" si="14"/>
        <v>45877</v>
      </c>
      <c r="F81" s="8">
        <f t="shared" si="1"/>
        <v>45881</v>
      </c>
      <c r="G81" s="9">
        <f t="shared" si="16"/>
        <v>79</v>
      </c>
      <c r="H81" s="7" t="s">
        <v>1392</v>
      </c>
    </row>
    <row r="82" ht="22.5" customHeight="1">
      <c r="A82" s="71"/>
      <c r="B82" s="5">
        <f t="shared" si="2"/>
        <v>81</v>
      </c>
      <c r="C82" s="29" t="s">
        <v>94</v>
      </c>
      <c r="D82" s="7">
        <v>2.0</v>
      </c>
      <c r="E82" s="8">
        <f t="shared" si="14"/>
        <v>45881</v>
      </c>
      <c r="F82" s="8">
        <f t="shared" si="1"/>
        <v>45883</v>
      </c>
      <c r="G82" s="9">
        <f t="shared" si="16"/>
        <v>80</v>
      </c>
      <c r="H82" s="7" t="s">
        <v>1388</v>
      </c>
    </row>
    <row r="83" ht="22.5" customHeight="1">
      <c r="A83" s="72" t="s">
        <v>55</v>
      </c>
      <c r="B83" s="5">
        <f t="shared" si="2"/>
        <v>82</v>
      </c>
      <c r="C83" s="73" t="s">
        <v>95</v>
      </c>
      <c r="D83" s="7">
        <v>1.0</v>
      </c>
      <c r="E83" s="8">
        <f t="shared" si="14"/>
        <v>45883</v>
      </c>
      <c r="F83" s="8">
        <f t="shared" si="1"/>
        <v>45884</v>
      </c>
      <c r="G83" s="9" t="str">
        <f>B50 &amp; "-" &amp; B82</f>
        <v>49-81</v>
      </c>
      <c r="H83" s="7" t="s">
        <v>1378</v>
      </c>
    </row>
    <row r="84" ht="22.5" customHeight="1">
      <c r="A84" s="38"/>
      <c r="B84" s="5">
        <f t="shared" si="2"/>
        <v>83</v>
      </c>
      <c r="C84" s="73" t="s">
        <v>96</v>
      </c>
      <c r="D84" s="7">
        <v>2.0</v>
      </c>
      <c r="E84" s="8">
        <f t="shared" si="14"/>
        <v>45884</v>
      </c>
      <c r="F84" s="8">
        <f t="shared" si="1"/>
        <v>45886</v>
      </c>
      <c r="G84" s="9">
        <f t="shared" ref="G84:G90" si="17">B83</f>
        <v>82</v>
      </c>
      <c r="H84" s="7" t="s">
        <v>1389</v>
      </c>
    </row>
    <row r="85" ht="22.5" customHeight="1">
      <c r="A85" s="38"/>
      <c r="B85" s="5">
        <f t="shared" si="2"/>
        <v>84</v>
      </c>
      <c r="C85" s="73" t="s">
        <v>97</v>
      </c>
      <c r="D85" s="7">
        <v>4.0</v>
      </c>
      <c r="E85" s="8">
        <f t="shared" si="14"/>
        <v>45886</v>
      </c>
      <c r="F85" s="8">
        <f t="shared" si="1"/>
        <v>45890</v>
      </c>
      <c r="G85" s="9">
        <f t="shared" si="17"/>
        <v>83</v>
      </c>
      <c r="H85" s="7" t="s">
        <v>1389</v>
      </c>
    </row>
    <row r="86" ht="22.5" customHeight="1">
      <c r="A86" s="38"/>
      <c r="B86" s="5">
        <f t="shared" si="2"/>
        <v>85</v>
      </c>
      <c r="C86" s="73" t="s">
        <v>98</v>
      </c>
      <c r="D86" s="43">
        <v>2.0</v>
      </c>
      <c r="E86" s="8">
        <f t="shared" si="14"/>
        <v>45890</v>
      </c>
      <c r="F86" s="8">
        <f t="shared" si="1"/>
        <v>45892</v>
      </c>
      <c r="G86" s="9">
        <f t="shared" si="17"/>
        <v>84</v>
      </c>
      <c r="H86" s="7" t="s">
        <v>1378</v>
      </c>
    </row>
    <row r="87" ht="22.5" customHeight="1">
      <c r="A87" s="38"/>
      <c r="B87" s="5">
        <f t="shared" si="2"/>
        <v>86</v>
      </c>
      <c r="C87" s="39" t="s">
        <v>99</v>
      </c>
      <c r="D87" s="21">
        <v>1.0</v>
      </c>
      <c r="E87" s="8">
        <f t="shared" si="14"/>
        <v>45892</v>
      </c>
      <c r="F87" s="8">
        <f t="shared" si="1"/>
        <v>45893</v>
      </c>
      <c r="G87" s="9">
        <f t="shared" si="17"/>
        <v>85</v>
      </c>
      <c r="H87" s="7" t="s">
        <v>1389</v>
      </c>
    </row>
    <row r="88" ht="22.5" customHeight="1">
      <c r="A88" s="38"/>
      <c r="B88" s="5">
        <f t="shared" si="2"/>
        <v>87</v>
      </c>
      <c r="C88" s="39" t="s">
        <v>100</v>
      </c>
      <c r="D88" s="23">
        <v>2.0</v>
      </c>
      <c r="E88" s="8">
        <f t="shared" si="14"/>
        <v>45893</v>
      </c>
      <c r="F88" s="8">
        <f t="shared" si="1"/>
        <v>45895</v>
      </c>
      <c r="G88" s="9">
        <f t="shared" si="17"/>
        <v>86</v>
      </c>
      <c r="H88" s="7" t="s">
        <v>1389</v>
      </c>
    </row>
    <row r="89" ht="22.5" customHeight="1">
      <c r="A89" s="38"/>
      <c r="B89" s="5">
        <f t="shared" si="2"/>
        <v>88</v>
      </c>
      <c r="C89" s="39" t="s">
        <v>101</v>
      </c>
      <c r="D89" s="21">
        <v>4.0</v>
      </c>
      <c r="E89" s="8">
        <f t="shared" si="14"/>
        <v>45895</v>
      </c>
      <c r="F89" s="8">
        <f t="shared" si="1"/>
        <v>45899</v>
      </c>
      <c r="G89" s="9">
        <f t="shared" si="17"/>
        <v>87</v>
      </c>
      <c r="H89" s="7" t="s">
        <v>1389</v>
      </c>
    </row>
    <row r="90" ht="22.5" customHeight="1">
      <c r="A90" s="38"/>
      <c r="B90" s="5">
        <f t="shared" si="2"/>
        <v>89</v>
      </c>
      <c r="C90" s="73" t="s">
        <v>102</v>
      </c>
      <c r="D90" s="74">
        <v>2.0</v>
      </c>
      <c r="E90" s="8">
        <f t="shared" si="14"/>
        <v>45899</v>
      </c>
      <c r="F90" s="8">
        <f t="shared" si="1"/>
        <v>45901</v>
      </c>
      <c r="G90" s="9">
        <f t="shared" si="17"/>
        <v>88</v>
      </c>
      <c r="H90" s="7" t="s">
        <v>1378</v>
      </c>
    </row>
    <row r="91" ht="22.5" customHeight="1">
      <c r="A91" s="75" t="s">
        <v>103</v>
      </c>
      <c r="B91" s="5">
        <f t="shared" si="2"/>
        <v>90</v>
      </c>
      <c r="C91" s="76" t="s">
        <v>104</v>
      </c>
      <c r="D91" s="21">
        <v>1.0</v>
      </c>
      <c r="E91" s="8">
        <f t="shared" si="14"/>
        <v>45901</v>
      </c>
      <c r="F91" s="8">
        <f t="shared" si="1"/>
        <v>45902</v>
      </c>
      <c r="G91" s="9" t="str">
        <f>B52 &amp; "-" &amp; B82</f>
        <v>51-81</v>
      </c>
      <c r="H91" s="7" t="s">
        <v>1389</v>
      </c>
    </row>
    <row r="92" ht="22.5" customHeight="1">
      <c r="A92" s="77"/>
      <c r="B92" s="5">
        <f t="shared" si="2"/>
        <v>91</v>
      </c>
      <c r="C92" s="76" t="s">
        <v>105</v>
      </c>
      <c r="D92" s="23">
        <v>2.0</v>
      </c>
      <c r="E92" s="8">
        <f t="shared" si="14"/>
        <v>45902</v>
      </c>
      <c r="F92" s="8">
        <f t="shared" si="1"/>
        <v>45904</v>
      </c>
      <c r="G92" s="9">
        <f t="shared" ref="G92:G98" si="18">B91</f>
        <v>90</v>
      </c>
      <c r="H92" s="7" t="s">
        <v>1393</v>
      </c>
    </row>
    <row r="93" ht="22.5" customHeight="1">
      <c r="A93" s="77"/>
      <c r="B93" s="5">
        <f t="shared" si="2"/>
        <v>92</v>
      </c>
      <c r="C93" s="76" t="s">
        <v>106</v>
      </c>
      <c r="D93" s="21">
        <v>4.0</v>
      </c>
      <c r="E93" s="8">
        <f t="shared" si="14"/>
        <v>45904</v>
      </c>
      <c r="F93" s="8">
        <f t="shared" si="1"/>
        <v>45908</v>
      </c>
      <c r="G93" s="9">
        <f t="shared" si="18"/>
        <v>91</v>
      </c>
      <c r="H93" s="7" t="s">
        <v>1389</v>
      </c>
    </row>
    <row r="94" ht="22.5" customHeight="1">
      <c r="A94" s="77"/>
      <c r="B94" s="5">
        <f t="shared" si="2"/>
        <v>93</v>
      </c>
      <c r="C94" s="76" t="s">
        <v>107</v>
      </c>
      <c r="D94" s="74">
        <v>2.0</v>
      </c>
      <c r="E94" s="8">
        <f t="shared" si="14"/>
        <v>45908</v>
      </c>
      <c r="F94" s="8">
        <f t="shared" si="1"/>
        <v>45910</v>
      </c>
      <c r="G94" s="9">
        <f t="shared" si="18"/>
        <v>92</v>
      </c>
      <c r="H94" s="7" t="s">
        <v>1378</v>
      </c>
    </row>
    <row r="95" ht="22.5" customHeight="1">
      <c r="A95" s="77"/>
      <c r="B95" s="5">
        <f t="shared" si="2"/>
        <v>94</v>
      </c>
      <c r="C95" s="78" t="s">
        <v>108</v>
      </c>
      <c r="D95" s="21">
        <v>1.0</v>
      </c>
      <c r="E95" s="8">
        <f t="shared" si="14"/>
        <v>45910</v>
      </c>
      <c r="F95" s="8">
        <f t="shared" si="1"/>
        <v>45911</v>
      </c>
      <c r="G95" s="9">
        <f t="shared" si="18"/>
        <v>93</v>
      </c>
      <c r="H95" s="7" t="s">
        <v>1389</v>
      </c>
    </row>
    <row r="96" ht="22.5" customHeight="1">
      <c r="A96" s="77"/>
      <c r="B96" s="5">
        <f t="shared" si="2"/>
        <v>95</v>
      </c>
      <c r="C96" s="78" t="s">
        <v>109</v>
      </c>
      <c r="D96" s="23">
        <v>2.0</v>
      </c>
      <c r="E96" s="8">
        <f t="shared" si="14"/>
        <v>45911</v>
      </c>
      <c r="F96" s="8">
        <f t="shared" si="1"/>
        <v>45913</v>
      </c>
      <c r="G96" s="9">
        <f t="shared" si="18"/>
        <v>94</v>
      </c>
      <c r="H96" s="7" t="s">
        <v>1389</v>
      </c>
    </row>
    <row r="97" ht="22.5" customHeight="1">
      <c r="A97" s="77"/>
      <c r="B97" s="5">
        <f t="shared" si="2"/>
        <v>96</v>
      </c>
      <c r="C97" s="78" t="s">
        <v>110</v>
      </c>
      <c r="D97" s="21">
        <v>4.0</v>
      </c>
      <c r="E97" s="8">
        <f t="shared" si="14"/>
        <v>45913</v>
      </c>
      <c r="F97" s="8">
        <f t="shared" si="1"/>
        <v>45917</v>
      </c>
      <c r="G97" s="9">
        <f t="shared" si="18"/>
        <v>95</v>
      </c>
      <c r="H97" s="7" t="s">
        <v>1389</v>
      </c>
    </row>
    <row r="98" ht="22.5" customHeight="1">
      <c r="A98" s="79"/>
      <c r="B98" s="5">
        <f t="shared" si="2"/>
        <v>97</v>
      </c>
      <c r="C98" s="76" t="s">
        <v>111</v>
      </c>
      <c r="D98" s="74">
        <v>2.0</v>
      </c>
      <c r="E98" s="8">
        <f t="shared" si="14"/>
        <v>45917</v>
      </c>
      <c r="F98" s="8">
        <f t="shared" si="1"/>
        <v>45919</v>
      </c>
      <c r="G98" s="9">
        <f t="shared" si="18"/>
        <v>96</v>
      </c>
      <c r="H98" s="7" t="s">
        <v>1378</v>
      </c>
    </row>
    <row r="99" ht="22.5" customHeight="1">
      <c r="A99" s="41" t="s">
        <v>60</v>
      </c>
      <c r="B99" s="5">
        <f t="shared" si="2"/>
        <v>98</v>
      </c>
      <c r="C99" s="80" t="s">
        <v>112</v>
      </c>
      <c r="D99" s="21">
        <v>1.0</v>
      </c>
      <c r="E99" s="8">
        <f t="shared" si="14"/>
        <v>45919</v>
      </c>
      <c r="F99" s="8">
        <f t="shared" si="1"/>
        <v>45920</v>
      </c>
      <c r="G99" s="9" t="str">
        <f>B51 &amp; "-" &amp; B82</f>
        <v>50-81</v>
      </c>
      <c r="H99" s="7" t="s">
        <v>1379</v>
      </c>
    </row>
    <row r="100" ht="22.5" customHeight="1">
      <c r="A100" s="81"/>
      <c r="B100" s="5">
        <f t="shared" si="2"/>
        <v>99</v>
      </c>
      <c r="C100" s="80" t="s">
        <v>113</v>
      </c>
      <c r="D100" s="23">
        <v>2.0</v>
      </c>
      <c r="E100" s="8">
        <f t="shared" si="14"/>
        <v>45920</v>
      </c>
      <c r="F100" s="8">
        <f t="shared" si="1"/>
        <v>45922</v>
      </c>
      <c r="G100" s="9">
        <f t="shared" ref="G100:G102" si="19">B99</f>
        <v>98</v>
      </c>
      <c r="H100" s="7" t="s">
        <v>1389</v>
      </c>
    </row>
    <row r="101" ht="22.5" customHeight="1">
      <c r="A101" s="81"/>
      <c r="B101" s="5">
        <f t="shared" si="2"/>
        <v>100</v>
      </c>
      <c r="C101" s="80" t="s">
        <v>114</v>
      </c>
      <c r="D101" s="21">
        <v>4.0</v>
      </c>
      <c r="E101" s="8">
        <f t="shared" si="14"/>
        <v>45922</v>
      </c>
      <c r="F101" s="8">
        <f t="shared" si="1"/>
        <v>45926</v>
      </c>
      <c r="G101" s="9">
        <f t="shared" si="19"/>
        <v>99</v>
      </c>
      <c r="H101" s="7" t="s">
        <v>1389</v>
      </c>
    </row>
    <row r="102" ht="22.5" customHeight="1">
      <c r="A102" s="41"/>
      <c r="B102" s="47">
        <f t="shared" si="2"/>
        <v>101</v>
      </c>
      <c r="C102" s="82" t="s">
        <v>115</v>
      </c>
      <c r="D102" s="83">
        <v>2.0</v>
      </c>
      <c r="E102" s="84">
        <f t="shared" si="14"/>
        <v>45926</v>
      </c>
      <c r="F102" s="84">
        <f t="shared" si="1"/>
        <v>45928</v>
      </c>
      <c r="G102" s="9">
        <f t="shared" si="19"/>
        <v>100</v>
      </c>
      <c r="H102" s="49" t="s">
        <v>1378</v>
      </c>
    </row>
    <row r="103" ht="22.5" customHeight="1">
      <c r="A103" s="85" t="s">
        <v>8</v>
      </c>
      <c r="B103" s="86">
        <f t="shared" si="2"/>
        <v>102</v>
      </c>
      <c r="C103" s="87" t="s">
        <v>116</v>
      </c>
      <c r="D103" s="57">
        <v>4.0</v>
      </c>
      <c r="E103" s="59">
        <f t="shared" si="14"/>
        <v>45928</v>
      </c>
      <c r="F103" s="59">
        <f t="shared" si="1"/>
        <v>45932</v>
      </c>
      <c r="G103" s="88">
        <f>B2</f>
        <v>1</v>
      </c>
      <c r="H103" s="57" t="s">
        <v>1373</v>
      </c>
    </row>
    <row r="104" ht="22.5" customHeight="1">
      <c r="A104" s="61"/>
      <c r="B104" s="43">
        <f t="shared" si="2"/>
        <v>103</v>
      </c>
      <c r="C104" s="89" t="s">
        <v>117</v>
      </c>
      <c r="D104" s="90">
        <v>4.0</v>
      </c>
      <c r="E104" s="8">
        <f t="shared" si="14"/>
        <v>45932</v>
      </c>
      <c r="F104" s="58">
        <f t="shared" si="1"/>
        <v>45936</v>
      </c>
      <c r="G104" s="60">
        <f>B2</f>
        <v>1</v>
      </c>
      <c r="H104" s="90" t="s">
        <v>1373</v>
      </c>
    </row>
    <row r="105" ht="22.5" customHeight="1">
      <c r="A105" s="61"/>
      <c r="B105" s="43">
        <f t="shared" si="2"/>
        <v>104</v>
      </c>
      <c r="C105" s="62" t="s">
        <v>118</v>
      </c>
      <c r="D105" s="90">
        <v>4.0</v>
      </c>
      <c r="E105" s="8">
        <f t="shared" si="14"/>
        <v>45936</v>
      </c>
      <c r="F105" s="58">
        <f t="shared" si="1"/>
        <v>45940</v>
      </c>
      <c r="G105" s="60">
        <f>B2</f>
        <v>1</v>
      </c>
      <c r="H105" s="90" t="s">
        <v>1373</v>
      </c>
    </row>
    <row r="106" ht="22.5" customHeight="1">
      <c r="A106" s="61"/>
      <c r="B106" s="43">
        <f t="shared" si="2"/>
        <v>105</v>
      </c>
      <c r="C106" s="62" t="s">
        <v>68</v>
      </c>
      <c r="D106" s="7">
        <v>2.0</v>
      </c>
      <c r="E106" s="8">
        <f t="shared" si="14"/>
        <v>45940</v>
      </c>
      <c r="F106" s="58">
        <f t="shared" si="1"/>
        <v>45942</v>
      </c>
      <c r="G106" s="60">
        <f>B2</f>
        <v>1</v>
      </c>
      <c r="H106" s="7" t="s">
        <v>1373</v>
      </c>
    </row>
    <row r="107" ht="22.5" customHeight="1">
      <c r="A107" s="61"/>
      <c r="B107" s="43">
        <f t="shared" si="2"/>
        <v>106</v>
      </c>
      <c r="C107" s="62" t="s">
        <v>66</v>
      </c>
      <c r="D107" s="7">
        <v>7.0</v>
      </c>
      <c r="E107" s="58">
        <f t="shared" si="14"/>
        <v>45942</v>
      </c>
      <c r="F107" s="58">
        <f t="shared" si="1"/>
        <v>45949</v>
      </c>
      <c r="G107" s="60">
        <f>B2</f>
        <v>1</v>
      </c>
      <c r="H107" s="7" t="s">
        <v>1373</v>
      </c>
    </row>
    <row r="108" ht="22.5" customHeight="1">
      <c r="A108" s="61"/>
      <c r="B108" s="43">
        <f t="shared" si="2"/>
        <v>107</v>
      </c>
      <c r="C108" s="62" t="s">
        <v>67</v>
      </c>
      <c r="D108" s="7">
        <v>7.0</v>
      </c>
      <c r="E108" s="58">
        <f t="shared" si="14"/>
        <v>45949</v>
      </c>
      <c r="F108" s="58">
        <f t="shared" si="1"/>
        <v>45956</v>
      </c>
      <c r="G108" s="60">
        <f>B2</f>
        <v>1</v>
      </c>
      <c r="H108" s="7" t="s">
        <v>1373</v>
      </c>
    </row>
    <row r="109" ht="22.5" customHeight="1">
      <c r="A109" s="15" t="s">
        <v>119</v>
      </c>
      <c r="B109" s="43">
        <f t="shared" si="2"/>
        <v>108</v>
      </c>
      <c r="C109" s="63" t="s">
        <v>120</v>
      </c>
      <c r="D109" s="17">
        <v>1.0</v>
      </c>
      <c r="E109" s="58">
        <f t="shared" si="14"/>
        <v>45956</v>
      </c>
      <c r="F109" s="8">
        <f t="shared" si="1"/>
        <v>45957</v>
      </c>
      <c r="G109" s="9">
        <f>B103</f>
        <v>102</v>
      </c>
      <c r="H109" s="7" t="s">
        <v>1373</v>
      </c>
    </row>
    <row r="110" ht="22.5" customHeight="1">
      <c r="A110" s="19"/>
      <c r="B110" s="65">
        <f t="shared" si="2"/>
        <v>109</v>
      </c>
      <c r="C110" s="63" t="s">
        <v>121</v>
      </c>
      <c r="D110" s="7">
        <v>1.0</v>
      </c>
      <c r="E110" s="58">
        <f t="shared" si="14"/>
        <v>45957</v>
      </c>
      <c r="F110" s="8">
        <f t="shared" si="1"/>
        <v>45958</v>
      </c>
      <c r="G110" s="9">
        <f t="shared" ref="G110:G129" si="20">B109</f>
        <v>108</v>
      </c>
      <c r="H110" s="7" t="s">
        <v>1394</v>
      </c>
    </row>
    <row r="111" ht="22.5" customHeight="1">
      <c r="A111" s="19"/>
      <c r="B111" s="65">
        <f t="shared" si="2"/>
        <v>110</v>
      </c>
      <c r="C111" s="63" t="s">
        <v>1395</v>
      </c>
      <c r="D111" s="7">
        <v>1.0</v>
      </c>
      <c r="E111" s="58">
        <f t="shared" si="14"/>
        <v>45958</v>
      </c>
      <c r="F111" s="8">
        <f t="shared" si="1"/>
        <v>45959</v>
      </c>
      <c r="G111" s="9">
        <f t="shared" si="20"/>
        <v>109</v>
      </c>
      <c r="H111" s="7" t="s">
        <v>1373</v>
      </c>
    </row>
    <row r="112" ht="22.5" customHeight="1">
      <c r="A112" s="18"/>
      <c r="B112" s="5">
        <f t="shared" si="2"/>
        <v>111</v>
      </c>
      <c r="C112" s="16" t="s">
        <v>123</v>
      </c>
      <c r="D112" s="7">
        <v>3.0</v>
      </c>
      <c r="E112" s="8">
        <f t="shared" si="14"/>
        <v>45959</v>
      </c>
      <c r="F112" s="8">
        <f t="shared" si="1"/>
        <v>45962</v>
      </c>
      <c r="G112" s="9">
        <f t="shared" si="20"/>
        <v>110</v>
      </c>
      <c r="H112" s="7" t="s">
        <v>1394</v>
      </c>
    </row>
    <row r="113" ht="22.5" customHeight="1">
      <c r="A113" s="19"/>
      <c r="B113" s="5">
        <f t="shared" si="2"/>
        <v>112</v>
      </c>
      <c r="C113" s="16" t="s">
        <v>124</v>
      </c>
      <c r="D113" s="7">
        <v>1.0</v>
      </c>
      <c r="E113" s="8">
        <f t="shared" si="14"/>
        <v>45962</v>
      </c>
      <c r="F113" s="8">
        <f t="shared" si="1"/>
        <v>45963</v>
      </c>
      <c r="G113" s="9">
        <f t="shared" si="20"/>
        <v>111</v>
      </c>
      <c r="H113" s="7" t="s">
        <v>1373</v>
      </c>
    </row>
    <row r="114" ht="22.5" customHeight="1">
      <c r="A114" s="19"/>
      <c r="B114" s="5">
        <f t="shared" si="2"/>
        <v>113</v>
      </c>
      <c r="C114" s="16" t="s">
        <v>125</v>
      </c>
      <c r="D114" s="7">
        <v>1.0</v>
      </c>
      <c r="E114" s="8">
        <f t="shared" si="14"/>
        <v>45963</v>
      </c>
      <c r="F114" s="8">
        <f t="shared" si="1"/>
        <v>45964</v>
      </c>
      <c r="G114" s="9">
        <f t="shared" si="20"/>
        <v>112</v>
      </c>
      <c r="H114" s="7" t="s">
        <v>1396</v>
      </c>
    </row>
    <row r="115" ht="22.5" customHeight="1">
      <c r="A115" s="19"/>
      <c r="B115" s="5">
        <f t="shared" si="2"/>
        <v>114</v>
      </c>
      <c r="C115" s="16" t="s">
        <v>126</v>
      </c>
      <c r="D115" s="7">
        <v>1.0</v>
      </c>
      <c r="E115" s="8">
        <f t="shared" si="14"/>
        <v>45964</v>
      </c>
      <c r="F115" s="8">
        <f t="shared" si="1"/>
        <v>45965</v>
      </c>
      <c r="G115" s="9">
        <f t="shared" si="20"/>
        <v>113</v>
      </c>
      <c r="H115" s="7" t="s">
        <v>1373</v>
      </c>
    </row>
    <row r="116" ht="22.5" customHeight="1">
      <c r="A116" s="19"/>
      <c r="B116" s="5">
        <f t="shared" si="2"/>
        <v>115</v>
      </c>
      <c r="C116" s="16" t="s">
        <v>29</v>
      </c>
      <c r="D116" s="7">
        <v>4.0</v>
      </c>
      <c r="E116" s="8">
        <f t="shared" si="14"/>
        <v>45965</v>
      </c>
      <c r="F116" s="8">
        <f t="shared" si="1"/>
        <v>45969</v>
      </c>
      <c r="G116" s="9">
        <f t="shared" si="20"/>
        <v>114</v>
      </c>
      <c r="H116" s="7" t="s">
        <v>1373</v>
      </c>
    </row>
    <row r="117" ht="22.5" customHeight="1">
      <c r="A117" s="19"/>
      <c r="B117" s="5">
        <f t="shared" si="2"/>
        <v>116</v>
      </c>
      <c r="C117" s="20" t="s">
        <v>30</v>
      </c>
      <c r="D117" s="21">
        <v>10.0</v>
      </c>
      <c r="E117" s="8">
        <f t="shared" si="14"/>
        <v>45969</v>
      </c>
      <c r="F117" s="22">
        <f t="shared" si="1"/>
        <v>45979</v>
      </c>
      <c r="G117" s="9">
        <f t="shared" si="20"/>
        <v>115</v>
      </c>
      <c r="H117" s="7" t="s">
        <v>1380</v>
      </c>
    </row>
    <row r="118" ht="22.5" customHeight="1">
      <c r="A118" s="19"/>
      <c r="B118" s="5">
        <f t="shared" si="2"/>
        <v>117</v>
      </c>
      <c r="C118" s="20" t="s">
        <v>31</v>
      </c>
      <c r="D118" s="7">
        <v>1.0</v>
      </c>
      <c r="E118" s="8">
        <f t="shared" si="14"/>
        <v>45979</v>
      </c>
      <c r="F118" s="8">
        <f t="shared" si="1"/>
        <v>45980</v>
      </c>
      <c r="G118" s="9">
        <f t="shared" si="20"/>
        <v>116</v>
      </c>
      <c r="H118" s="7" t="s">
        <v>1380</v>
      </c>
    </row>
    <row r="119" ht="22.5" customHeight="1">
      <c r="A119" s="19"/>
      <c r="B119" s="5">
        <f t="shared" si="2"/>
        <v>118</v>
      </c>
      <c r="C119" s="20" t="s">
        <v>127</v>
      </c>
      <c r="D119" s="21">
        <v>1.0</v>
      </c>
      <c r="E119" s="30">
        <f>F117</f>
        <v>45979</v>
      </c>
      <c r="F119" s="30">
        <f t="shared" si="1"/>
        <v>45980</v>
      </c>
      <c r="G119" s="9">
        <f t="shared" si="20"/>
        <v>117</v>
      </c>
      <c r="H119" s="7" t="s">
        <v>1380</v>
      </c>
    </row>
    <row r="120" ht="22.5" customHeight="1">
      <c r="A120" s="19"/>
      <c r="B120" s="5">
        <f t="shared" si="2"/>
        <v>119</v>
      </c>
      <c r="C120" s="20" t="s">
        <v>33</v>
      </c>
      <c r="D120" s="23">
        <v>1.0</v>
      </c>
      <c r="E120" s="91">
        <f t="shared" ref="E120:E121" si="21">F117</f>
        <v>45979</v>
      </c>
      <c r="F120" s="91">
        <f t="shared" si="1"/>
        <v>45980</v>
      </c>
      <c r="G120" s="9">
        <f t="shared" si="20"/>
        <v>118</v>
      </c>
      <c r="H120" s="7" t="s">
        <v>1380</v>
      </c>
    </row>
    <row r="121" ht="22.5" customHeight="1">
      <c r="A121" s="19"/>
      <c r="B121" s="5">
        <f t="shared" si="2"/>
        <v>120</v>
      </c>
      <c r="C121" s="20" t="s">
        <v>128</v>
      </c>
      <c r="D121" s="23">
        <v>8.0</v>
      </c>
      <c r="E121" s="8">
        <f t="shared" si="21"/>
        <v>45980</v>
      </c>
      <c r="F121" s="24">
        <f t="shared" si="1"/>
        <v>45988</v>
      </c>
      <c r="G121" s="9">
        <f t="shared" si="20"/>
        <v>119</v>
      </c>
      <c r="H121" s="7" t="s">
        <v>1380</v>
      </c>
    </row>
    <row r="122" ht="22.5" customHeight="1">
      <c r="A122" s="19"/>
      <c r="B122" s="5">
        <f t="shared" si="2"/>
        <v>121</v>
      </c>
      <c r="C122" s="16" t="s">
        <v>35</v>
      </c>
      <c r="D122" s="7">
        <v>1.0</v>
      </c>
      <c r="E122" s="8">
        <f t="shared" ref="E122:E128" si="22">F121</f>
        <v>45988</v>
      </c>
      <c r="F122" s="8">
        <f t="shared" si="1"/>
        <v>45989</v>
      </c>
      <c r="G122" s="9">
        <f t="shared" si="20"/>
        <v>120</v>
      </c>
      <c r="H122" s="7" t="s">
        <v>1380</v>
      </c>
    </row>
    <row r="123" ht="22.5" customHeight="1">
      <c r="A123" s="19"/>
      <c r="B123" s="5">
        <f t="shared" si="2"/>
        <v>122</v>
      </c>
      <c r="C123" s="16" t="s">
        <v>129</v>
      </c>
      <c r="D123" s="7">
        <v>1.0</v>
      </c>
      <c r="E123" s="8">
        <f t="shared" si="22"/>
        <v>45989</v>
      </c>
      <c r="F123" s="8">
        <f t="shared" si="1"/>
        <v>45990</v>
      </c>
      <c r="G123" s="9">
        <f t="shared" si="20"/>
        <v>121</v>
      </c>
      <c r="H123" s="7" t="s">
        <v>1373</v>
      </c>
    </row>
    <row r="124" ht="22.5" customHeight="1">
      <c r="A124" s="19"/>
      <c r="B124" s="5">
        <f t="shared" si="2"/>
        <v>123</v>
      </c>
      <c r="C124" s="16" t="s">
        <v>130</v>
      </c>
      <c r="D124" s="7">
        <v>1.0</v>
      </c>
      <c r="E124" s="8">
        <f t="shared" si="22"/>
        <v>45990</v>
      </c>
      <c r="F124" s="8">
        <f t="shared" si="1"/>
        <v>45991</v>
      </c>
      <c r="G124" s="9">
        <f t="shared" si="20"/>
        <v>122</v>
      </c>
      <c r="H124" s="7" t="s">
        <v>1373</v>
      </c>
    </row>
    <row r="125" ht="22.5" customHeight="1">
      <c r="A125" s="19"/>
      <c r="B125" s="5">
        <f t="shared" si="2"/>
        <v>124</v>
      </c>
      <c r="C125" s="16" t="s">
        <v>131</v>
      </c>
      <c r="D125" s="7">
        <v>4.0</v>
      </c>
      <c r="E125" s="8">
        <f t="shared" si="22"/>
        <v>45991</v>
      </c>
      <c r="F125" s="8">
        <f t="shared" si="1"/>
        <v>45995</v>
      </c>
      <c r="G125" s="9">
        <f t="shared" si="20"/>
        <v>123</v>
      </c>
      <c r="H125" s="7" t="s">
        <v>1384</v>
      </c>
    </row>
    <row r="126" ht="22.5" customHeight="1">
      <c r="A126" s="92" t="s">
        <v>81</v>
      </c>
      <c r="B126" s="5">
        <f t="shared" si="2"/>
        <v>125</v>
      </c>
      <c r="C126" s="93" t="s">
        <v>132</v>
      </c>
      <c r="D126" s="17">
        <v>1.0</v>
      </c>
      <c r="E126" s="8">
        <f t="shared" si="22"/>
        <v>45995</v>
      </c>
      <c r="F126" s="8">
        <f t="shared" si="1"/>
        <v>45996</v>
      </c>
      <c r="G126" s="9">
        <f t="shared" si="20"/>
        <v>124</v>
      </c>
      <c r="H126" s="7" t="s">
        <v>1373</v>
      </c>
    </row>
    <row r="127" ht="22.5" customHeight="1">
      <c r="A127" s="69"/>
      <c r="B127" s="5">
        <f t="shared" si="2"/>
        <v>126</v>
      </c>
      <c r="C127" s="93" t="s">
        <v>133</v>
      </c>
      <c r="D127" s="17">
        <v>1.0</v>
      </c>
      <c r="E127" s="8">
        <f t="shared" si="22"/>
        <v>45996</v>
      </c>
      <c r="F127" s="8">
        <f t="shared" si="1"/>
        <v>45997</v>
      </c>
      <c r="G127" s="9">
        <f t="shared" si="20"/>
        <v>125</v>
      </c>
      <c r="H127" s="7" t="s">
        <v>1373</v>
      </c>
    </row>
    <row r="128" ht="22.5" customHeight="1">
      <c r="A128" s="69"/>
      <c r="B128" s="5">
        <f t="shared" si="2"/>
        <v>127</v>
      </c>
      <c r="C128" s="93" t="s">
        <v>134</v>
      </c>
      <c r="D128" s="17">
        <v>1.0</v>
      </c>
      <c r="E128" s="8">
        <f t="shared" si="22"/>
        <v>45997</v>
      </c>
      <c r="F128" s="8">
        <f t="shared" si="1"/>
        <v>45998</v>
      </c>
      <c r="G128" s="9">
        <f t="shared" si="20"/>
        <v>126</v>
      </c>
      <c r="H128" s="7" t="s">
        <v>1373</v>
      </c>
    </row>
    <row r="129" ht="22.5" customHeight="1">
      <c r="A129" s="69"/>
      <c r="B129" s="43">
        <f t="shared" si="2"/>
        <v>128</v>
      </c>
      <c r="C129" s="29" t="s">
        <v>135</v>
      </c>
      <c r="D129" s="17">
        <v>1.0</v>
      </c>
      <c r="E129" s="58">
        <f t="shared" ref="E129:E130" si="23">F127</f>
        <v>45997</v>
      </c>
      <c r="F129" s="58">
        <f t="shared" si="1"/>
        <v>45998</v>
      </c>
      <c r="G129" s="70">
        <f t="shared" si="20"/>
        <v>127</v>
      </c>
      <c r="H129" s="7" t="s">
        <v>1373</v>
      </c>
    </row>
    <row r="130" ht="22.5" customHeight="1">
      <c r="A130" s="69"/>
      <c r="B130" s="5">
        <f t="shared" si="2"/>
        <v>129</v>
      </c>
      <c r="C130" s="93" t="s">
        <v>136</v>
      </c>
      <c r="D130" s="7">
        <v>1.0</v>
      </c>
      <c r="E130" s="8">
        <f t="shared" si="23"/>
        <v>45998</v>
      </c>
      <c r="F130" s="8">
        <f t="shared" si="1"/>
        <v>45999</v>
      </c>
      <c r="G130" s="9">
        <f>B128</f>
        <v>127</v>
      </c>
      <c r="H130" s="7" t="s">
        <v>1373</v>
      </c>
    </row>
    <row r="131" ht="22.5" customHeight="1">
      <c r="A131" s="27"/>
      <c r="B131" s="5">
        <f t="shared" si="2"/>
        <v>130</v>
      </c>
      <c r="C131" s="93" t="s">
        <v>137</v>
      </c>
      <c r="D131" s="7">
        <v>1.0</v>
      </c>
      <c r="E131" s="8">
        <f t="shared" ref="E131:E184" si="24">F130</f>
        <v>45999</v>
      </c>
      <c r="F131" s="8">
        <f t="shared" si="1"/>
        <v>46000</v>
      </c>
      <c r="G131" s="9">
        <f t="shared" ref="G131:G138" si="25">B130</f>
        <v>129</v>
      </c>
      <c r="H131" s="7" t="s">
        <v>1373</v>
      </c>
    </row>
    <row r="132" ht="22.5" customHeight="1">
      <c r="A132" s="27"/>
      <c r="B132" s="5">
        <f t="shared" si="2"/>
        <v>131</v>
      </c>
      <c r="C132" s="93" t="s">
        <v>138</v>
      </c>
      <c r="D132" s="7">
        <v>3.0</v>
      </c>
      <c r="E132" s="8">
        <f t="shared" si="24"/>
        <v>46000</v>
      </c>
      <c r="F132" s="8">
        <f t="shared" si="1"/>
        <v>46003</v>
      </c>
      <c r="G132" s="9">
        <f t="shared" si="25"/>
        <v>130</v>
      </c>
      <c r="H132" s="7" t="s">
        <v>1383</v>
      </c>
    </row>
    <row r="133" ht="22.5" customHeight="1">
      <c r="A133" s="27"/>
      <c r="B133" s="5">
        <f t="shared" si="2"/>
        <v>132</v>
      </c>
      <c r="C133" s="93" t="s">
        <v>139</v>
      </c>
      <c r="D133" s="7">
        <v>5.0</v>
      </c>
      <c r="E133" s="8">
        <f t="shared" si="24"/>
        <v>46003</v>
      </c>
      <c r="F133" s="8">
        <f t="shared" si="1"/>
        <v>46008</v>
      </c>
      <c r="G133" s="9">
        <f t="shared" si="25"/>
        <v>131</v>
      </c>
      <c r="H133" s="7" t="s">
        <v>1383</v>
      </c>
    </row>
    <row r="134" ht="22.5" customHeight="1">
      <c r="A134" s="27"/>
      <c r="B134" s="5">
        <f t="shared" si="2"/>
        <v>133</v>
      </c>
      <c r="C134" s="29" t="s">
        <v>140</v>
      </c>
      <c r="D134" s="7">
        <v>1.0</v>
      </c>
      <c r="E134" s="8">
        <f t="shared" si="24"/>
        <v>46008</v>
      </c>
      <c r="F134" s="8">
        <f t="shared" si="1"/>
        <v>46009</v>
      </c>
      <c r="G134" s="9">
        <f t="shared" si="25"/>
        <v>132</v>
      </c>
      <c r="H134" s="7" t="s">
        <v>1374</v>
      </c>
    </row>
    <row r="135" ht="22.5" customHeight="1">
      <c r="A135" s="69"/>
      <c r="B135" s="5">
        <f t="shared" si="2"/>
        <v>134</v>
      </c>
      <c r="C135" s="93" t="s">
        <v>141</v>
      </c>
      <c r="D135" s="7">
        <v>2.0</v>
      </c>
      <c r="E135" s="8">
        <f t="shared" si="24"/>
        <v>46009</v>
      </c>
      <c r="F135" s="8">
        <f t="shared" si="1"/>
        <v>46011</v>
      </c>
      <c r="G135" s="9">
        <f t="shared" si="25"/>
        <v>133</v>
      </c>
      <c r="H135" s="7" t="s">
        <v>1386</v>
      </c>
    </row>
    <row r="136" ht="22.5" customHeight="1">
      <c r="A136" s="27"/>
      <c r="B136" s="5">
        <f t="shared" si="2"/>
        <v>135</v>
      </c>
      <c r="C136" s="93" t="s">
        <v>1397</v>
      </c>
      <c r="D136" s="7">
        <v>2.0</v>
      </c>
      <c r="E136" s="8">
        <f t="shared" si="24"/>
        <v>46011</v>
      </c>
      <c r="F136" s="8">
        <f t="shared" si="1"/>
        <v>46013</v>
      </c>
      <c r="G136" s="9">
        <f t="shared" si="25"/>
        <v>134</v>
      </c>
      <c r="H136" s="7" t="s">
        <v>1387</v>
      </c>
    </row>
    <row r="137" ht="22.5" customHeight="1">
      <c r="A137" s="27"/>
      <c r="B137" s="5">
        <f t="shared" si="2"/>
        <v>136</v>
      </c>
      <c r="C137" s="93" t="s">
        <v>143</v>
      </c>
      <c r="D137" s="7">
        <v>1.0</v>
      </c>
      <c r="E137" s="8">
        <f t="shared" si="24"/>
        <v>46013</v>
      </c>
      <c r="F137" s="8">
        <f t="shared" si="1"/>
        <v>46014</v>
      </c>
      <c r="G137" s="9">
        <f t="shared" si="25"/>
        <v>135</v>
      </c>
      <c r="H137" s="7" t="s">
        <v>1398</v>
      </c>
    </row>
    <row r="138" ht="22.5" customHeight="1">
      <c r="A138" s="27"/>
      <c r="B138" s="5">
        <f t="shared" si="2"/>
        <v>137</v>
      </c>
      <c r="C138" s="93" t="s">
        <v>144</v>
      </c>
      <c r="D138" s="7">
        <v>2.0</v>
      </c>
      <c r="E138" s="8">
        <f t="shared" si="24"/>
        <v>46014</v>
      </c>
      <c r="F138" s="8">
        <f t="shared" si="1"/>
        <v>46016</v>
      </c>
      <c r="G138" s="9">
        <f t="shared" si="25"/>
        <v>136</v>
      </c>
      <c r="H138" s="7" t="s">
        <v>1398</v>
      </c>
    </row>
    <row r="139" ht="22.5" customHeight="1">
      <c r="A139" s="32" t="s">
        <v>145</v>
      </c>
      <c r="B139" s="5">
        <f t="shared" si="2"/>
        <v>138</v>
      </c>
      <c r="C139" s="94" t="s">
        <v>146</v>
      </c>
      <c r="D139" s="7">
        <v>2.0</v>
      </c>
      <c r="E139" s="8">
        <f t="shared" si="24"/>
        <v>46016</v>
      </c>
      <c r="F139" s="8">
        <f t="shared" si="1"/>
        <v>46018</v>
      </c>
      <c r="G139" s="9">
        <f>B105</f>
        <v>104</v>
      </c>
      <c r="H139" s="7" t="s">
        <v>1398</v>
      </c>
    </row>
    <row r="140" ht="22.5" customHeight="1">
      <c r="A140" s="95"/>
      <c r="B140" s="5">
        <f t="shared" si="2"/>
        <v>139</v>
      </c>
      <c r="C140" s="94" t="s">
        <v>147</v>
      </c>
      <c r="D140" s="7">
        <v>2.0</v>
      </c>
      <c r="E140" s="8">
        <f t="shared" si="24"/>
        <v>46018</v>
      </c>
      <c r="F140" s="8">
        <f t="shared" si="1"/>
        <v>46020</v>
      </c>
      <c r="G140" s="9">
        <f t="shared" ref="G140:G145" si="26">B139</f>
        <v>138</v>
      </c>
      <c r="H140" s="7" t="s">
        <v>1399</v>
      </c>
    </row>
    <row r="141" ht="22.5" customHeight="1">
      <c r="A141" s="95"/>
      <c r="B141" s="5">
        <f t="shared" si="2"/>
        <v>140</v>
      </c>
      <c r="C141" s="94" t="s">
        <v>148</v>
      </c>
      <c r="D141" s="7">
        <v>2.0</v>
      </c>
      <c r="E141" s="8">
        <f t="shared" si="24"/>
        <v>46020</v>
      </c>
      <c r="F141" s="8">
        <f t="shared" si="1"/>
        <v>46022</v>
      </c>
      <c r="G141" s="9">
        <f t="shared" si="26"/>
        <v>139</v>
      </c>
      <c r="H141" s="7" t="s">
        <v>1388</v>
      </c>
    </row>
    <row r="142" ht="22.5" customHeight="1">
      <c r="A142" s="95"/>
      <c r="B142" s="5">
        <f t="shared" si="2"/>
        <v>141</v>
      </c>
      <c r="C142" s="94" t="s">
        <v>149</v>
      </c>
      <c r="D142" s="7">
        <v>1.0</v>
      </c>
      <c r="E142" s="8">
        <f t="shared" si="24"/>
        <v>46022</v>
      </c>
      <c r="F142" s="8">
        <f t="shared" si="1"/>
        <v>46023</v>
      </c>
      <c r="G142" s="9">
        <f t="shared" si="26"/>
        <v>140</v>
      </c>
      <c r="H142" s="7" t="s">
        <v>1373</v>
      </c>
    </row>
    <row r="143" ht="22.5" customHeight="1">
      <c r="A143" s="95"/>
      <c r="B143" s="5">
        <f t="shared" si="2"/>
        <v>142</v>
      </c>
      <c r="C143" s="94" t="s">
        <v>150</v>
      </c>
      <c r="D143" s="7">
        <v>2.0</v>
      </c>
      <c r="E143" s="8">
        <f t="shared" si="24"/>
        <v>46023</v>
      </c>
      <c r="F143" s="8">
        <f t="shared" si="1"/>
        <v>46025</v>
      </c>
      <c r="G143" s="9">
        <f t="shared" si="26"/>
        <v>141</v>
      </c>
      <c r="H143" s="7" t="s">
        <v>1373</v>
      </c>
    </row>
    <row r="144" ht="22.5" customHeight="1">
      <c r="A144" s="95"/>
      <c r="B144" s="5">
        <f t="shared" si="2"/>
        <v>143</v>
      </c>
      <c r="C144" s="94" t="s">
        <v>151</v>
      </c>
      <c r="D144" s="7">
        <v>4.0</v>
      </c>
      <c r="E144" s="8">
        <f t="shared" si="24"/>
        <v>46025</v>
      </c>
      <c r="F144" s="8">
        <f t="shared" si="1"/>
        <v>46029</v>
      </c>
      <c r="G144" s="9">
        <f t="shared" si="26"/>
        <v>142</v>
      </c>
      <c r="H144" s="7" t="s">
        <v>1400</v>
      </c>
    </row>
    <row r="145" ht="22.5" customHeight="1">
      <c r="A145" s="96"/>
      <c r="B145" s="5">
        <f t="shared" si="2"/>
        <v>144</v>
      </c>
      <c r="C145" s="94" t="s">
        <v>152</v>
      </c>
      <c r="D145" s="7">
        <v>2.0</v>
      </c>
      <c r="E145" s="8">
        <f t="shared" si="24"/>
        <v>46029</v>
      </c>
      <c r="F145" s="8">
        <f t="shared" si="1"/>
        <v>46031</v>
      </c>
      <c r="G145" s="9">
        <f t="shared" si="26"/>
        <v>143</v>
      </c>
      <c r="H145" s="7" t="s">
        <v>1388</v>
      </c>
    </row>
    <row r="146" ht="22.5" customHeight="1">
      <c r="A146" s="72" t="s">
        <v>55</v>
      </c>
      <c r="B146" s="5">
        <f t="shared" si="2"/>
        <v>145</v>
      </c>
      <c r="C146" s="73" t="s">
        <v>153</v>
      </c>
      <c r="D146" s="7">
        <v>1.0</v>
      </c>
      <c r="E146" s="8">
        <f t="shared" si="24"/>
        <v>46031</v>
      </c>
      <c r="F146" s="8">
        <f t="shared" si="1"/>
        <v>46032</v>
      </c>
      <c r="G146" s="9" t="str">
        <f>B107 &amp; "-" &amp; B134</f>
        <v>106-133</v>
      </c>
      <c r="H146" s="7" t="s">
        <v>1378</v>
      </c>
    </row>
    <row r="147" ht="22.5" customHeight="1">
      <c r="A147" s="38"/>
      <c r="B147" s="5">
        <f t="shared" si="2"/>
        <v>146</v>
      </c>
      <c r="C147" s="73" t="s">
        <v>154</v>
      </c>
      <c r="D147" s="7">
        <v>2.0</v>
      </c>
      <c r="E147" s="8">
        <f t="shared" si="24"/>
        <v>46032</v>
      </c>
      <c r="F147" s="8">
        <f t="shared" si="1"/>
        <v>46034</v>
      </c>
      <c r="G147" s="9">
        <f t="shared" ref="G147:G153" si="27">B146</f>
        <v>145</v>
      </c>
      <c r="H147" s="7" t="s">
        <v>1389</v>
      </c>
    </row>
    <row r="148" ht="22.5" customHeight="1">
      <c r="A148" s="38"/>
      <c r="B148" s="5">
        <f t="shared" si="2"/>
        <v>147</v>
      </c>
      <c r="C148" s="73" t="s">
        <v>155</v>
      </c>
      <c r="D148" s="7">
        <v>4.0</v>
      </c>
      <c r="E148" s="8">
        <f t="shared" si="24"/>
        <v>46034</v>
      </c>
      <c r="F148" s="8">
        <f t="shared" si="1"/>
        <v>46038</v>
      </c>
      <c r="G148" s="9">
        <f t="shared" si="27"/>
        <v>146</v>
      </c>
      <c r="H148" s="7" t="s">
        <v>1389</v>
      </c>
    </row>
    <row r="149" ht="22.5" customHeight="1">
      <c r="A149" s="38"/>
      <c r="B149" s="5">
        <f t="shared" si="2"/>
        <v>148</v>
      </c>
      <c r="C149" s="73" t="s">
        <v>156</v>
      </c>
      <c r="D149" s="43">
        <v>2.0</v>
      </c>
      <c r="E149" s="8">
        <f t="shared" si="24"/>
        <v>46038</v>
      </c>
      <c r="F149" s="8">
        <f t="shared" si="1"/>
        <v>46040</v>
      </c>
      <c r="G149" s="9">
        <f t="shared" si="27"/>
        <v>147</v>
      </c>
      <c r="H149" s="7" t="s">
        <v>1378</v>
      </c>
    </row>
    <row r="150" ht="22.5" customHeight="1">
      <c r="A150" s="38"/>
      <c r="B150" s="5">
        <f t="shared" si="2"/>
        <v>149</v>
      </c>
      <c r="C150" s="39" t="s">
        <v>157</v>
      </c>
      <c r="D150" s="21">
        <v>1.0</v>
      </c>
      <c r="E150" s="8">
        <f t="shared" si="24"/>
        <v>46040</v>
      </c>
      <c r="F150" s="8">
        <f t="shared" si="1"/>
        <v>46041</v>
      </c>
      <c r="G150" s="9">
        <f t="shared" si="27"/>
        <v>148</v>
      </c>
      <c r="H150" s="7" t="s">
        <v>1389</v>
      </c>
    </row>
    <row r="151" ht="22.5" customHeight="1">
      <c r="A151" s="38"/>
      <c r="B151" s="5">
        <f t="shared" si="2"/>
        <v>150</v>
      </c>
      <c r="C151" s="39" t="s">
        <v>158</v>
      </c>
      <c r="D151" s="23">
        <v>2.0</v>
      </c>
      <c r="E151" s="8">
        <f t="shared" si="24"/>
        <v>46041</v>
      </c>
      <c r="F151" s="8">
        <f t="shared" si="1"/>
        <v>46043</v>
      </c>
      <c r="G151" s="9">
        <f t="shared" si="27"/>
        <v>149</v>
      </c>
      <c r="H151" s="7" t="s">
        <v>1389</v>
      </c>
    </row>
    <row r="152" ht="22.5" customHeight="1">
      <c r="A152" s="38"/>
      <c r="B152" s="5">
        <f t="shared" si="2"/>
        <v>151</v>
      </c>
      <c r="C152" s="39" t="s">
        <v>159</v>
      </c>
      <c r="D152" s="21">
        <v>4.0</v>
      </c>
      <c r="E152" s="8">
        <f t="shared" si="24"/>
        <v>46043</v>
      </c>
      <c r="F152" s="8">
        <f t="shared" si="1"/>
        <v>46047</v>
      </c>
      <c r="G152" s="9">
        <f t="shared" si="27"/>
        <v>150</v>
      </c>
      <c r="H152" s="7" t="s">
        <v>1389</v>
      </c>
    </row>
    <row r="153" ht="22.5" customHeight="1">
      <c r="A153" s="38"/>
      <c r="B153" s="5">
        <f t="shared" si="2"/>
        <v>152</v>
      </c>
      <c r="C153" s="73" t="s">
        <v>160</v>
      </c>
      <c r="D153" s="74">
        <v>2.0</v>
      </c>
      <c r="E153" s="8">
        <f t="shared" si="24"/>
        <v>46047</v>
      </c>
      <c r="F153" s="8">
        <f t="shared" si="1"/>
        <v>46049</v>
      </c>
      <c r="G153" s="9">
        <f t="shared" si="27"/>
        <v>151</v>
      </c>
      <c r="H153" s="7" t="s">
        <v>1378</v>
      </c>
    </row>
    <row r="154" ht="22.5" customHeight="1">
      <c r="A154" s="75" t="s">
        <v>103</v>
      </c>
      <c r="B154" s="5">
        <f t="shared" si="2"/>
        <v>153</v>
      </c>
      <c r="C154" s="76" t="s">
        <v>161</v>
      </c>
      <c r="D154" s="21">
        <v>1.0</v>
      </c>
      <c r="E154" s="8">
        <f t="shared" si="24"/>
        <v>46049</v>
      </c>
      <c r="F154" s="8">
        <f t="shared" si="1"/>
        <v>46050</v>
      </c>
      <c r="G154" s="9" t="str">
        <f>B106 &amp; "-" &amp; B134</f>
        <v>105-133</v>
      </c>
      <c r="H154" s="7" t="s">
        <v>1389</v>
      </c>
    </row>
    <row r="155" ht="22.5" customHeight="1">
      <c r="A155" s="77"/>
      <c r="B155" s="5">
        <f t="shared" si="2"/>
        <v>154</v>
      </c>
      <c r="C155" s="76" t="s">
        <v>162</v>
      </c>
      <c r="D155" s="23">
        <v>2.0</v>
      </c>
      <c r="E155" s="8">
        <f t="shared" si="24"/>
        <v>46050</v>
      </c>
      <c r="F155" s="8">
        <f t="shared" si="1"/>
        <v>46052</v>
      </c>
      <c r="G155" s="9">
        <f t="shared" ref="G155:G157" si="28">B154</f>
        <v>153</v>
      </c>
      <c r="H155" s="7" t="s">
        <v>1393</v>
      </c>
    </row>
    <row r="156" ht="22.5" customHeight="1">
      <c r="A156" s="77"/>
      <c r="B156" s="5">
        <f t="shared" si="2"/>
        <v>155</v>
      </c>
      <c r="C156" s="76" t="s">
        <v>163</v>
      </c>
      <c r="D156" s="21">
        <v>4.0</v>
      </c>
      <c r="E156" s="8">
        <f t="shared" si="24"/>
        <v>46052</v>
      </c>
      <c r="F156" s="8">
        <f t="shared" si="1"/>
        <v>46056</v>
      </c>
      <c r="G156" s="9">
        <f t="shared" si="28"/>
        <v>154</v>
      </c>
      <c r="H156" s="7" t="s">
        <v>1389</v>
      </c>
    </row>
    <row r="157" ht="22.5" customHeight="1">
      <c r="A157" s="77"/>
      <c r="B157" s="5">
        <f t="shared" si="2"/>
        <v>156</v>
      </c>
      <c r="C157" s="76" t="s">
        <v>164</v>
      </c>
      <c r="D157" s="74">
        <v>2.0</v>
      </c>
      <c r="E157" s="8">
        <f t="shared" si="24"/>
        <v>46056</v>
      </c>
      <c r="F157" s="8">
        <f t="shared" si="1"/>
        <v>46058</v>
      </c>
      <c r="G157" s="9">
        <f t="shared" si="28"/>
        <v>155</v>
      </c>
      <c r="H157" s="7" t="s">
        <v>1378</v>
      </c>
    </row>
    <row r="158" ht="22.5" customHeight="1">
      <c r="A158" s="97" t="s">
        <v>60</v>
      </c>
      <c r="B158" s="5">
        <f t="shared" si="2"/>
        <v>157</v>
      </c>
      <c r="C158" s="80" t="s">
        <v>165</v>
      </c>
      <c r="D158" s="21">
        <v>1.0</v>
      </c>
      <c r="E158" s="8">
        <f t="shared" si="24"/>
        <v>46058</v>
      </c>
      <c r="F158" s="8">
        <f t="shared" si="1"/>
        <v>46059</v>
      </c>
      <c r="G158" s="9" t="str">
        <f>B108 &amp; "-" &amp; B134</f>
        <v>107-133</v>
      </c>
      <c r="H158" s="7" t="s">
        <v>1379</v>
      </c>
    </row>
    <row r="159" ht="22.5" customHeight="1">
      <c r="A159" s="81"/>
      <c r="B159" s="5">
        <f t="shared" si="2"/>
        <v>158</v>
      </c>
      <c r="C159" s="80" t="s">
        <v>166</v>
      </c>
      <c r="D159" s="23">
        <v>2.0</v>
      </c>
      <c r="E159" s="8">
        <f t="shared" si="24"/>
        <v>46059</v>
      </c>
      <c r="F159" s="8">
        <f t="shared" si="1"/>
        <v>46061</v>
      </c>
      <c r="G159" s="9">
        <f t="shared" ref="G159:G161" si="29">B158</f>
        <v>157</v>
      </c>
      <c r="H159" s="7" t="s">
        <v>1389</v>
      </c>
    </row>
    <row r="160" ht="22.5" customHeight="1">
      <c r="A160" s="81"/>
      <c r="B160" s="5">
        <f t="shared" si="2"/>
        <v>159</v>
      </c>
      <c r="C160" s="80" t="s">
        <v>167</v>
      </c>
      <c r="D160" s="21">
        <v>4.0</v>
      </c>
      <c r="E160" s="8">
        <f t="shared" si="24"/>
        <v>46061</v>
      </c>
      <c r="F160" s="8">
        <f t="shared" si="1"/>
        <v>46065</v>
      </c>
      <c r="G160" s="9">
        <f t="shared" si="29"/>
        <v>158</v>
      </c>
      <c r="H160" s="7" t="s">
        <v>1389</v>
      </c>
    </row>
    <row r="161" ht="22.5" customHeight="1">
      <c r="A161" s="41"/>
      <c r="B161" s="47">
        <f t="shared" si="2"/>
        <v>160</v>
      </c>
      <c r="C161" s="82" t="s">
        <v>168</v>
      </c>
      <c r="D161" s="83">
        <v>2.0</v>
      </c>
      <c r="E161" s="8">
        <f t="shared" si="24"/>
        <v>46065</v>
      </c>
      <c r="F161" s="84">
        <f t="shared" si="1"/>
        <v>46067</v>
      </c>
      <c r="G161" s="98">
        <f t="shared" si="29"/>
        <v>159</v>
      </c>
      <c r="H161" s="49" t="s">
        <v>1378</v>
      </c>
    </row>
    <row r="162" ht="22.5" customHeight="1">
      <c r="A162" s="32" t="s">
        <v>169</v>
      </c>
      <c r="B162" s="99">
        <f t="shared" si="2"/>
        <v>161</v>
      </c>
      <c r="C162" s="100" t="s">
        <v>170</v>
      </c>
      <c r="D162" s="101">
        <v>1.0</v>
      </c>
      <c r="E162" s="8">
        <f t="shared" si="24"/>
        <v>46067</v>
      </c>
      <c r="F162" s="22">
        <f t="shared" si="1"/>
        <v>46068</v>
      </c>
      <c r="G162" s="102">
        <f>B36</f>
        <v>35</v>
      </c>
      <c r="H162" s="101" t="s">
        <v>1378</v>
      </c>
    </row>
    <row r="163" ht="22.5" customHeight="1">
      <c r="A163" s="103"/>
      <c r="B163" s="104">
        <f t="shared" si="2"/>
        <v>162</v>
      </c>
      <c r="C163" s="105" t="s">
        <v>171</v>
      </c>
      <c r="D163" s="106">
        <v>2.0</v>
      </c>
      <c r="E163" s="8">
        <f t="shared" si="24"/>
        <v>46068</v>
      </c>
      <c r="F163" s="24">
        <f t="shared" si="1"/>
        <v>46070</v>
      </c>
      <c r="G163" s="107">
        <f t="shared" ref="G163:G165" si="30">B162</f>
        <v>161</v>
      </c>
      <c r="H163" s="106" t="s">
        <v>1389</v>
      </c>
    </row>
    <row r="164" ht="22.5" customHeight="1">
      <c r="A164" s="103"/>
      <c r="B164" s="99">
        <f t="shared" si="2"/>
        <v>163</v>
      </c>
      <c r="C164" s="105" t="s">
        <v>172</v>
      </c>
      <c r="D164" s="101">
        <v>4.0</v>
      </c>
      <c r="E164" s="8">
        <f t="shared" si="24"/>
        <v>46070</v>
      </c>
      <c r="F164" s="22">
        <f t="shared" si="1"/>
        <v>46074</v>
      </c>
      <c r="G164" s="107">
        <f t="shared" si="30"/>
        <v>162</v>
      </c>
      <c r="H164" s="101" t="s">
        <v>1389</v>
      </c>
    </row>
    <row r="165" ht="22.5" customHeight="1">
      <c r="A165" s="103"/>
      <c r="B165" s="104">
        <f t="shared" si="2"/>
        <v>164</v>
      </c>
      <c r="C165" s="105" t="s">
        <v>173</v>
      </c>
      <c r="D165" s="108">
        <v>2.0</v>
      </c>
      <c r="E165" s="8">
        <f t="shared" si="24"/>
        <v>46074</v>
      </c>
      <c r="F165" s="24">
        <f t="shared" si="1"/>
        <v>46076</v>
      </c>
      <c r="G165" s="107">
        <f t="shared" si="30"/>
        <v>163</v>
      </c>
      <c r="H165" s="106" t="s">
        <v>1378</v>
      </c>
    </row>
    <row r="166" ht="22.5" customHeight="1">
      <c r="A166" s="336"/>
      <c r="B166" s="99">
        <f t="shared" si="2"/>
        <v>165</v>
      </c>
      <c r="C166" s="105" t="s">
        <v>174</v>
      </c>
      <c r="D166" s="101">
        <v>1.0</v>
      </c>
      <c r="E166" s="8">
        <f t="shared" si="24"/>
        <v>46076</v>
      </c>
      <c r="F166" s="22">
        <f t="shared" si="1"/>
        <v>46077</v>
      </c>
      <c r="G166" s="102">
        <f>B36</f>
        <v>35</v>
      </c>
      <c r="H166" s="101" t="s">
        <v>1389</v>
      </c>
    </row>
    <row r="167" ht="22.5" customHeight="1">
      <c r="A167" s="336"/>
      <c r="B167" s="104">
        <f t="shared" si="2"/>
        <v>166</v>
      </c>
      <c r="C167" s="105" t="s">
        <v>175</v>
      </c>
      <c r="D167" s="106">
        <v>2.0</v>
      </c>
      <c r="E167" s="8">
        <f t="shared" si="24"/>
        <v>46077</v>
      </c>
      <c r="F167" s="24">
        <f t="shared" si="1"/>
        <v>46079</v>
      </c>
      <c r="G167" s="107">
        <f t="shared" ref="G167:G169" si="31">B166</f>
        <v>165</v>
      </c>
      <c r="H167" s="106" t="s">
        <v>1389</v>
      </c>
    </row>
    <row r="168" ht="22.5" customHeight="1">
      <c r="A168" s="336"/>
      <c r="B168" s="99">
        <f t="shared" si="2"/>
        <v>167</v>
      </c>
      <c r="C168" s="105" t="s">
        <v>176</v>
      </c>
      <c r="D168" s="101">
        <v>4.0</v>
      </c>
      <c r="E168" s="8">
        <f t="shared" si="24"/>
        <v>46079</v>
      </c>
      <c r="F168" s="22">
        <f t="shared" si="1"/>
        <v>46083</v>
      </c>
      <c r="G168" s="107">
        <f t="shared" si="31"/>
        <v>166</v>
      </c>
      <c r="H168" s="101" t="s">
        <v>1389</v>
      </c>
    </row>
    <row r="169" ht="22.5" customHeight="1">
      <c r="A169" s="337"/>
      <c r="B169" s="104">
        <f t="shared" si="2"/>
        <v>168</v>
      </c>
      <c r="C169" s="105" t="s">
        <v>177</v>
      </c>
      <c r="D169" s="108">
        <v>2.0</v>
      </c>
      <c r="E169" s="8">
        <f t="shared" si="24"/>
        <v>46083</v>
      </c>
      <c r="F169" s="24">
        <f t="shared" si="1"/>
        <v>46085</v>
      </c>
      <c r="G169" s="107">
        <f t="shared" si="31"/>
        <v>167</v>
      </c>
      <c r="H169" s="106" t="s">
        <v>1378</v>
      </c>
    </row>
    <row r="170" ht="22.5" customHeight="1">
      <c r="A170" s="112" t="s">
        <v>178</v>
      </c>
      <c r="B170" s="5">
        <f t="shared" si="2"/>
        <v>169</v>
      </c>
      <c r="C170" s="113" t="s">
        <v>179</v>
      </c>
      <c r="D170" s="21">
        <v>1.0</v>
      </c>
      <c r="E170" s="8">
        <f t="shared" si="24"/>
        <v>46085</v>
      </c>
      <c r="F170" s="8">
        <f t="shared" si="1"/>
        <v>46086</v>
      </c>
      <c r="G170" s="9" t="str">
        <f>B107 &amp; "-" &amp; B134</f>
        <v>106-133</v>
      </c>
      <c r="H170" s="7" t="s">
        <v>1379</v>
      </c>
    </row>
    <row r="171" ht="22.5" customHeight="1">
      <c r="A171" s="114"/>
      <c r="B171" s="5">
        <f t="shared" si="2"/>
        <v>170</v>
      </c>
      <c r="C171" s="113" t="s">
        <v>180</v>
      </c>
      <c r="D171" s="23">
        <v>2.0</v>
      </c>
      <c r="E171" s="8">
        <f t="shared" si="24"/>
        <v>46086</v>
      </c>
      <c r="F171" s="8">
        <f t="shared" si="1"/>
        <v>46088</v>
      </c>
      <c r="G171" s="9">
        <f t="shared" ref="G171:G174" si="32">B170</f>
        <v>169</v>
      </c>
      <c r="H171" s="7" t="s">
        <v>1389</v>
      </c>
    </row>
    <row r="172" ht="22.5" customHeight="1">
      <c r="A172" s="114"/>
      <c r="B172" s="5">
        <f t="shared" si="2"/>
        <v>171</v>
      </c>
      <c r="C172" s="113" t="s">
        <v>181</v>
      </c>
      <c r="D172" s="23">
        <v>2.0</v>
      </c>
      <c r="E172" s="8">
        <f t="shared" si="24"/>
        <v>46088</v>
      </c>
      <c r="F172" s="8">
        <f t="shared" si="1"/>
        <v>46090</v>
      </c>
      <c r="G172" s="9">
        <f t="shared" si="32"/>
        <v>170</v>
      </c>
      <c r="H172" s="7" t="s">
        <v>1389</v>
      </c>
    </row>
    <row r="173" ht="22.5" customHeight="1">
      <c r="A173" s="114"/>
      <c r="B173" s="5">
        <f t="shared" si="2"/>
        <v>172</v>
      </c>
      <c r="C173" s="113" t="s">
        <v>182</v>
      </c>
      <c r="D173" s="21">
        <v>4.0</v>
      </c>
      <c r="E173" s="8">
        <f t="shared" si="24"/>
        <v>46090</v>
      </c>
      <c r="F173" s="8">
        <f t="shared" si="1"/>
        <v>46094</v>
      </c>
      <c r="G173" s="9">
        <f t="shared" si="32"/>
        <v>171</v>
      </c>
      <c r="H173" s="7" t="s">
        <v>1389</v>
      </c>
    </row>
    <row r="174" ht="22.5" customHeight="1">
      <c r="A174" s="116"/>
      <c r="B174" s="117">
        <f t="shared" si="2"/>
        <v>173</v>
      </c>
      <c r="C174" s="118" t="s">
        <v>183</v>
      </c>
      <c r="D174" s="119">
        <v>2.0</v>
      </c>
      <c r="E174" s="50">
        <f t="shared" si="24"/>
        <v>46094</v>
      </c>
      <c r="F174" s="50">
        <f t="shared" si="1"/>
        <v>46096</v>
      </c>
      <c r="G174" s="52">
        <f t="shared" si="32"/>
        <v>172</v>
      </c>
      <c r="H174" s="53" t="s">
        <v>1378</v>
      </c>
    </row>
    <row r="175" ht="22.5" customHeight="1">
      <c r="A175" s="85" t="s">
        <v>8</v>
      </c>
      <c r="B175" s="86">
        <f t="shared" si="2"/>
        <v>174</v>
      </c>
      <c r="C175" s="87" t="s">
        <v>184</v>
      </c>
      <c r="D175" s="57">
        <v>4.0</v>
      </c>
      <c r="E175" s="59">
        <f t="shared" si="24"/>
        <v>46096</v>
      </c>
      <c r="F175" s="59">
        <f t="shared" si="1"/>
        <v>46100</v>
      </c>
      <c r="G175" s="88">
        <f>B2</f>
        <v>1</v>
      </c>
      <c r="H175" s="57" t="s">
        <v>1373</v>
      </c>
    </row>
    <row r="176" ht="22.5" customHeight="1">
      <c r="A176" s="61"/>
      <c r="B176" s="43">
        <f t="shared" si="2"/>
        <v>175</v>
      </c>
      <c r="C176" s="14" t="s">
        <v>185</v>
      </c>
      <c r="D176" s="7">
        <v>4.0</v>
      </c>
      <c r="E176" s="8">
        <f t="shared" si="24"/>
        <v>46100</v>
      </c>
      <c r="F176" s="58">
        <f t="shared" si="1"/>
        <v>46104</v>
      </c>
      <c r="G176" s="60">
        <f>B2</f>
        <v>1</v>
      </c>
      <c r="H176" s="7" t="s">
        <v>1373</v>
      </c>
    </row>
    <row r="177" ht="22.5" customHeight="1">
      <c r="A177" s="15" t="s">
        <v>186</v>
      </c>
      <c r="B177" s="5">
        <f t="shared" si="2"/>
        <v>176</v>
      </c>
      <c r="C177" s="67" t="s">
        <v>187</v>
      </c>
      <c r="D177" s="17">
        <v>1.0</v>
      </c>
      <c r="E177" s="58">
        <f t="shared" si="24"/>
        <v>46104</v>
      </c>
      <c r="F177" s="58">
        <f t="shared" si="1"/>
        <v>46105</v>
      </c>
      <c r="G177" s="70">
        <f>B175</f>
        <v>174</v>
      </c>
      <c r="H177" s="7" t="s">
        <v>1373</v>
      </c>
    </row>
    <row r="178" ht="22.5" customHeight="1">
      <c r="A178" s="120"/>
      <c r="B178" s="43">
        <f t="shared" si="2"/>
        <v>177</v>
      </c>
      <c r="C178" s="67" t="s">
        <v>188</v>
      </c>
      <c r="D178" s="7">
        <v>1.0</v>
      </c>
      <c r="E178" s="58">
        <f t="shared" si="24"/>
        <v>46105</v>
      </c>
      <c r="F178" s="58">
        <f t="shared" si="1"/>
        <v>46106</v>
      </c>
      <c r="G178" s="70">
        <f t="shared" ref="G178:G202" si="33">B177</f>
        <v>176</v>
      </c>
      <c r="H178" s="7" t="s">
        <v>1373</v>
      </c>
    </row>
    <row r="179" ht="22.5" customHeight="1">
      <c r="A179" s="120"/>
      <c r="B179" s="43">
        <f t="shared" si="2"/>
        <v>178</v>
      </c>
      <c r="C179" s="67" t="s">
        <v>1401</v>
      </c>
      <c r="D179" s="7">
        <v>1.0</v>
      </c>
      <c r="E179" s="58">
        <f t="shared" si="24"/>
        <v>46106</v>
      </c>
      <c r="F179" s="58">
        <f t="shared" si="1"/>
        <v>46107</v>
      </c>
      <c r="G179" s="70">
        <f t="shared" si="33"/>
        <v>177</v>
      </c>
      <c r="H179" s="7" t="s">
        <v>1373</v>
      </c>
    </row>
    <row r="180" ht="22.5" customHeight="1">
      <c r="A180" s="120"/>
      <c r="B180" s="43">
        <f t="shared" si="2"/>
        <v>179</v>
      </c>
      <c r="C180" s="67" t="s">
        <v>190</v>
      </c>
      <c r="D180" s="7">
        <v>2.0</v>
      </c>
      <c r="E180" s="58">
        <f t="shared" si="24"/>
        <v>46107</v>
      </c>
      <c r="F180" s="58">
        <f t="shared" si="1"/>
        <v>46109</v>
      </c>
      <c r="G180" s="70">
        <f t="shared" si="33"/>
        <v>178</v>
      </c>
      <c r="H180" s="7" t="s">
        <v>1373</v>
      </c>
    </row>
    <row r="181" ht="22.5" customHeight="1">
      <c r="A181" s="120"/>
      <c r="B181" s="43">
        <f t="shared" si="2"/>
        <v>180</v>
      </c>
      <c r="C181" s="67" t="s">
        <v>191</v>
      </c>
      <c r="D181" s="17">
        <v>1.0</v>
      </c>
      <c r="E181" s="58">
        <f t="shared" si="24"/>
        <v>46109</v>
      </c>
      <c r="F181" s="58">
        <f t="shared" si="1"/>
        <v>46110</v>
      </c>
      <c r="G181" s="70">
        <f t="shared" si="33"/>
        <v>179</v>
      </c>
      <c r="H181" s="7" t="s">
        <v>1373</v>
      </c>
    </row>
    <row r="182" ht="22.5" customHeight="1">
      <c r="A182" s="120"/>
      <c r="B182" s="43">
        <f t="shared" si="2"/>
        <v>181</v>
      </c>
      <c r="C182" s="67" t="s">
        <v>192</v>
      </c>
      <c r="D182" s="7">
        <v>1.0</v>
      </c>
      <c r="E182" s="58">
        <f t="shared" si="24"/>
        <v>46110</v>
      </c>
      <c r="F182" s="58">
        <f t="shared" si="1"/>
        <v>46111</v>
      </c>
      <c r="G182" s="70">
        <f t="shared" si="33"/>
        <v>180</v>
      </c>
      <c r="H182" s="7" t="s">
        <v>1373</v>
      </c>
    </row>
    <row r="183" ht="22.5" customHeight="1">
      <c r="A183" s="338"/>
      <c r="B183" s="43">
        <f t="shared" si="2"/>
        <v>182</v>
      </c>
      <c r="C183" s="67" t="s">
        <v>193</v>
      </c>
      <c r="D183" s="7">
        <v>1.0</v>
      </c>
      <c r="E183" s="58">
        <f t="shared" si="24"/>
        <v>46111</v>
      </c>
      <c r="F183" s="58">
        <f t="shared" si="1"/>
        <v>46112</v>
      </c>
      <c r="G183" s="70">
        <f t="shared" si="33"/>
        <v>181</v>
      </c>
      <c r="H183" s="7" t="s">
        <v>1373</v>
      </c>
    </row>
    <row r="184" ht="22.5" customHeight="1">
      <c r="A184" s="338"/>
      <c r="B184" s="43">
        <f t="shared" si="2"/>
        <v>183</v>
      </c>
      <c r="C184" s="20" t="s">
        <v>29</v>
      </c>
      <c r="D184" s="17">
        <v>1.0</v>
      </c>
      <c r="E184" s="58">
        <f t="shared" si="24"/>
        <v>46112</v>
      </c>
      <c r="F184" s="58">
        <f t="shared" si="1"/>
        <v>46113</v>
      </c>
      <c r="G184" s="70">
        <f t="shared" si="33"/>
        <v>182</v>
      </c>
      <c r="H184" s="7" t="s">
        <v>1373</v>
      </c>
    </row>
    <row r="185" ht="22.5" customHeight="1">
      <c r="A185" s="338"/>
      <c r="B185" s="43">
        <f t="shared" si="2"/>
        <v>184</v>
      </c>
      <c r="C185" s="67" t="s">
        <v>30</v>
      </c>
      <c r="D185" s="17">
        <v>1.0</v>
      </c>
      <c r="E185" s="58">
        <f>F183</f>
        <v>46112</v>
      </c>
      <c r="F185" s="58">
        <f t="shared" si="1"/>
        <v>46113</v>
      </c>
      <c r="G185" s="70">
        <f t="shared" si="33"/>
        <v>183</v>
      </c>
      <c r="H185" s="7" t="s">
        <v>1373</v>
      </c>
    </row>
    <row r="186" ht="22.5" customHeight="1">
      <c r="A186" s="338"/>
      <c r="B186" s="43">
        <f t="shared" si="2"/>
        <v>185</v>
      </c>
      <c r="C186" s="67" t="s">
        <v>31</v>
      </c>
      <c r="D186" s="7">
        <v>1.0</v>
      </c>
      <c r="E186" s="58">
        <f t="shared" ref="E186:E187" si="34">F183</f>
        <v>46112</v>
      </c>
      <c r="F186" s="58">
        <f t="shared" si="1"/>
        <v>46113</v>
      </c>
      <c r="G186" s="70">
        <f t="shared" si="33"/>
        <v>184</v>
      </c>
      <c r="H186" s="7" t="s">
        <v>1373</v>
      </c>
    </row>
    <row r="187" ht="22.5" customHeight="1">
      <c r="A187" s="338"/>
      <c r="B187" s="43">
        <f t="shared" si="2"/>
        <v>186</v>
      </c>
      <c r="C187" s="67" t="s">
        <v>127</v>
      </c>
      <c r="D187" s="7">
        <v>1.0</v>
      </c>
      <c r="E187" s="58">
        <f t="shared" si="34"/>
        <v>46113</v>
      </c>
      <c r="F187" s="58">
        <f t="shared" si="1"/>
        <v>46114</v>
      </c>
      <c r="G187" s="70">
        <f t="shared" si="33"/>
        <v>185</v>
      </c>
      <c r="H187" s="7" t="s">
        <v>1373</v>
      </c>
    </row>
    <row r="188" ht="22.5" customHeight="1">
      <c r="A188" s="338"/>
      <c r="B188" s="43">
        <f t="shared" si="2"/>
        <v>187</v>
      </c>
      <c r="C188" s="67" t="s">
        <v>33</v>
      </c>
      <c r="D188" s="7">
        <v>1.0</v>
      </c>
      <c r="E188" s="58">
        <f t="shared" ref="E188:E196" si="35">F187</f>
        <v>46114</v>
      </c>
      <c r="F188" s="58">
        <f t="shared" si="1"/>
        <v>46115</v>
      </c>
      <c r="G188" s="70">
        <f t="shared" si="33"/>
        <v>186</v>
      </c>
      <c r="H188" s="7" t="s">
        <v>1373</v>
      </c>
    </row>
    <row r="189" ht="22.5" customHeight="1">
      <c r="A189" s="338"/>
      <c r="B189" s="43">
        <f t="shared" si="2"/>
        <v>188</v>
      </c>
      <c r="C189" s="67" t="s">
        <v>128</v>
      </c>
      <c r="D189" s="7">
        <v>2.0</v>
      </c>
      <c r="E189" s="58">
        <f t="shared" si="35"/>
        <v>46115</v>
      </c>
      <c r="F189" s="58">
        <f t="shared" si="1"/>
        <v>46117</v>
      </c>
      <c r="G189" s="70">
        <f t="shared" si="33"/>
        <v>187</v>
      </c>
      <c r="H189" s="7" t="s">
        <v>1373</v>
      </c>
    </row>
    <row r="190" ht="22.5" customHeight="1">
      <c r="A190" s="339"/>
      <c r="B190" s="5">
        <f t="shared" si="2"/>
        <v>189</v>
      </c>
      <c r="C190" s="20" t="s">
        <v>35</v>
      </c>
      <c r="D190" s="7">
        <v>1.0</v>
      </c>
      <c r="E190" s="58">
        <f t="shared" si="35"/>
        <v>46117</v>
      </c>
      <c r="F190" s="58">
        <f t="shared" si="1"/>
        <v>46118</v>
      </c>
      <c r="G190" s="70">
        <f t="shared" si="33"/>
        <v>188</v>
      </c>
      <c r="H190" s="7" t="s">
        <v>1373</v>
      </c>
    </row>
    <row r="191" ht="22.5" customHeight="1">
      <c r="A191" s="338"/>
      <c r="B191" s="43">
        <f t="shared" si="2"/>
        <v>190</v>
      </c>
      <c r="C191" s="67" t="s">
        <v>194</v>
      </c>
      <c r="D191" s="7">
        <v>1.0</v>
      </c>
      <c r="E191" s="58">
        <f t="shared" si="35"/>
        <v>46118</v>
      </c>
      <c r="F191" s="58">
        <f t="shared" si="1"/>
        <v>46119</v>
      </c>
      <c r="G191" s="70">
        <f t="shared" si="33"/>
        <v>189</v>
      </c>
      <c r="H191" s="7" t="s">
        <v>1373</v>
      </c>
    </row>
    <row r="192" ht="22.5" customHeight="1">
      <c r="A192" s="339"/>
      <c r="B192" s="5">
        <f t="shared" si="2"/>
        <v>191</v>
      </c>
      <c r="C192" s="67" t="s">
        <v>195</v>
      </c>
      <c r="D192" s="7">
        <v>2.0</v>
      </c>
      <c r="E192" s="58">
        <f t="shared" si="35"/>
        <v>46119</v>
      </c>
      <c r="F192" s="58">
        <f t="shared" si="1"/>
        <v>46121</v>
      </c>
      <c r="G192" s="70">
        <f t="shared" si="33"/>
        <v>190</v>
      </c>
      <c r="H192" s="7" t="s">
        <v>1373</v>
      </c>
    </row>
    <row r="193" ht="22.5" customHeight="1">
      <c r="A193" s="340"/>
      <c r="B193" s="5">
        <f t="shared" si="2"/>
        <v>192</v>
      </c>
      <c r="C193" s="67" t="s">
        <v>196</v>
      </c>
      <c r="D193" s="7">
        <v>4.0</v>
      </c>
      <c r="E193" s="58">
        <f t="shared" si="35"/>
        <v>46121</v>
      </c>
      <c r="F193" s="58">
        <f t="shared" si="1"/>
        <v>46125</v>
      </c>
      <c r="G193" s="70">
        <f t="shared" si="33"/>
        <v>191</v>
      </c>
      <c r="H193" s="7" t="s">
        <v>1373</v>
      </c>
    </row>
    <row r="194" ht="22.5" customHeight="1">
      <c r="A194" s="124" t="s">
        <v>81</v>
      </c>
      <c r="B194" s="43">
        <f t="shared" si="2"/>
        <v>193</v>
      </c>
      <c r="C194" s="125" t="s">
        <v>197</v>
      </c>
      <c r="D194" s="17">
        <v>1.0</v>
      </c>
      <c r="E194" s="58">
        <f t="shared" si="35"/>
        <v>46125</v>
      </c>
      <c r="F194" s="58">
        <f t="shared" si="1"/>
        <v>46126</v>
      </c>
      <c r="G194" s="70">
        <f t="shared" si="33"/>
        <v>192</v>
      </c>
      <c r="H194" s="7" t="s">
        <v>1373</v>
      </c>
    </row>
    <row r="195" ht="22.5" customHeight="1">
      <c r="A195" s="341"/>
      <c r="B195" s="43">
        <f t="shared" si="2"/>
        <v>194</v>
      </c>
      <c r="C195" s="125" t="s">
        <v>198</v>
      </c>
      <c r="D195" s="17">
        <v>1.0</v>
      </c>
      <c r="E195" s="58">
        <f t="shared" si="35"/>
        <v>46126</v>
      </c>
      <c r="F195" s="58">
        <f t="shared" si="1"/>
        <v>46127</v>
      </c>
      <c r="G195" s="70">
        <f t="shared" si="33"/>
        <v>193</v>
      </c>
      <c r="H195" s="7" t="s">
        <v>1373</v>
      </c>
    </row>
    <row r="196" ht="22.5" customHeight="1">
      <c r="A196" s="341"/>
      <c r="B196" s="43">
        <f t="shared" si="2"/>
        <v>195</v>
      </c>
      <c r="C196" s="125" t="s">
        <v>199</v>
      </c>
      <c r="D196" s="17">
        <v>1.0</v>
      </c>
      <c r="E196" s="58">
        <f t="shared" si="35"/>
        <v>46127</v>
      </c>
      <c r="F196" s="58">
        <f t="shared" si="1"/>
        <v>46128</v>
      </c>
      <c r="G196" s="70">
        <f t="shared" si="33"/>
        <v>194</v>
      </c>
      <c r="H196" s="7" t="s">
        <v>1373</v>
      </c>
    </row>
    <row r="197" ht="22.5" customHeight="1">
      <c r="A197" s="341"/>
      <c r="B197" s="43">
        <f t="shared" si="2"/>
        <v>196</v>
      </c>
      <c r="C197" s="125" t="s">
        <v>200</v>
      </c>
      <c r="D197" s="17">
        <v>1.0</v>
      </c>
      <c r="E197" s="58">
        <f t="shared" ref="E197:E198" si="36">F195</f>
        <v>46127</v>
      </c>
      <c r="F197" s="58">
        <f t="shared" si="1"/>
        <v>46128</v>
      </c>
      <c r="G197" s="70">
        <f t="shared" si="33"/>
        <v>195</v>
      </c>
      <c r="H197" s="7" t="s">
        <v>1373</v>
      </c>
    </row>
    <row r="198" ht="22.5" customHeight="1">
      <c r="A198" s="341"/>
      <c r="B198" s="43">
        <f t="shared" si="2"/>
        <v>197</v>
      </c>
      <c r="C198" s="125" t="s">
        <v>201</v>
      </c>
      <c r="D198" s="7">
        <v>1.0</v>
      </c>
      <c r="E198" s="58">
        <f t="shared" si="36"/>
        <v>46128</v>
      </c>
      <c r="F198" s="58">
        <f t="shared" si="1"/>
        <v>46129</v>
      </c>
      <c r="G198" s="70">
        <f t="shared" si="33"/>
        <v>196</v>
      </c>
      <c r="H198" s="7" t="s">
        <v>1373</v>
      </c>
    </row>
    <row r="199" ht="22.5" customHeight="1">
      <c r="A199" s="341"/>
      <c r="B199" s="43">
        <f t="shared" si="2"/>
        <v>198</v>
      </c>
      <c r="C199" s="125" t="s">
        <v>202</v>
      </c>
      <c r="D199" s="7">
        <v>1.0</v>
      </c>
      <c r="E199" s="58">
        <f t="shared" ref="E199:E212" si="37">F198</f>
        <v>46129</v>
      </c>
      <c r="F199" s="58">
        <f t="shared" si="1"/>
        <v>46130</v>
      </c>
      <c r="G199" s="70">
        <f t="shared" si="33"/>
        <v>197</v>
      </c>
      <c r="H199" s="7" t="s">
        <v>1373</v>
      </c>
    </row>
    <row r="200" ht="22.5" customHeight="1">
      <c r="A200" s="341"/>
      <c r="B200" s="43">
        <f t="shared" si="2"/>
        <v>199</v>
      </c>
      <c r="C200" s="125" t="s">
        <v>203</v>
      </c>
      <c r="D200" s="7">
        <v>1.0</v>
      </c>
      <c r="E200" s="58">
        <f t="shared" si="37"/>
        <v>46130</v>
      </c>
      <c r="F200" s="58">
        <f t="shared" si="1"/>
        <v>46131</v>
      </c>
      <c r="G200" s="70">
        <f t="shared" si="33"/>
        <v>198</v>
      </c>
      <c r="H200" s="7" t="s">
        <v>1373</v>
      </c>
    </row>
    <row r="201" ht="22.5" customHeight="1">
      <c r="A201" s="341"/>
      <c r="B201" s="43">
        <f t="shared" si="2"/>
        <v>200</v>
      </c>
      <c r="C201" s="125" t="s">
        <v>204</v>
      </c>
      <c r="D201" s="7">
        <v>1.0</v>
      </c>
      <c r="E201" s="58">
        <f t="shared" si="37"/>
        <v>46131</v>
      </c>
      <c r="F201" s="58">
        <f t="shared" si="1"/>
        <v>46132</v>
      </c>
      <c r="G201" s="70">
        <f t="shared" si="33"/>
        <v>199</v>
      </c>
      <c r="H201" s="7" t="s">
        <v>1373</v>
      </c>
    </row>
    <row r="202" ht="22.5" customHeight="1">
      <c r="A202" s="341"/>
      <c r="B202" s="43">
        <f t="shared" si="2"/>
        <v>201</v>
      </c>
      <c r="C202" s="127" t="s">
        <v>205</v>
      </c>
      <c r="D202" s="17">
        <v>1.0</v>
      </c>
      <c r="E202" s="58">
        <f t="shared" si="37"/>
        <v>46132</v>
      </c>
      <c r="F202" s="58">
        <f t="shared" si="1"/>
        <v>46133</v>
      </c>
      <c r="G202" s="70">
        <f t="shared" si="33"/>
        <v>200</v>
      </c>
      <c r="H202" s="7" t="s">
        <v>1373</v>
      </c>
    </row>
    <row r="203" ht="22.5" customHeight="1">
      <c r="A203" s="36" t="s">
        <v>206</v>
      </c>
      <c r="B203" s="5">
        <f t="shared" si="2"/>
        <v>202</v>
      </c>
      <c r="C203" s="73" t="s">
        <v>207</v>
      </c>
      <c r="D203" s="17">
        <v>1.0</v>
      </c>
      <c r="E203" s="58">
        <f t="shared" si="37"/>
        <v>46133</v>
      </c>
      <c r="F203" s="58">
        <f t="shared" si="1"/>
        <v>46134</v>
      </c>
      <c r="G203" s="70">
        <f>B198</f>
        <v>197</v>
      </c>
      <c r="H203" s="7" t="s">
        <v>1373</v>
      </c>
    </row>
    <row r="204" ht="22.5" customHeight="1">
      <c r="A204" s="128"/>
      <c r="B204" s="43">
        <f t="shared" si="2"/>
        <v>203</v>
      </c>
      <c r="C204" s="73" t="s">
        <v>208</v>
      </c>
      <c r="D204" s="7">
        <v>1.0</v>
      </c>
      <c r="E204" s="58">
        <f t="shared" si="37"/>
        <v>46134</v>
      </c>
      <c r="F204" s="58">
        <f t="shared" si="1"/>
        <v>46135</v>
      </c>
      <c r="G204" s="70">
        <f t="shared" ref="G204:G206" si="38">B203</f>
        <v>202</v>
      </c>
      <c r="H204" s="7" t="s">
        <v>1373</v>
      </c>
    </row>
    <row r="205" ht="22.5" customHeight="1">
      <c r="A205" s="128"/>
      <c r="B205" s="43">
        <f t="shared" si="2"/>
        <v>204</v>
      </c>
      <c r="C205" s="73" t="s">
        <v>209</v>
      </c>
      <c r="D205" s="7">
        <v>1.0</v>
      </c>
      <c r="E205" s="58">
        <f t="shared" si="37"/>
        <v>46135</v>
      </c>
      <c r="F205" s="58">
        <f t="shared" si="1"/>
        <v>46136</v>
      </c>
      <c r="G205" s="70">
        <f t="shared" si="38"/>
        <v>203</v>
      </c>
      <c r="H205" s="7" t="s">
        <v>1373</v>
      </c>
    </row>
    <row r="206" ht="22.5" customHeight="1">
      <c r="A206" s="128"/>
      <c r="B206" s="43">
        <f t="shared" si="2"/>
        <v>205</v>
      </c>
      <c r="C206" s="39" t="s">
        <v>210</v>
      </c>
      <c r="D206" s="7">
        <v>2.0</v>
      </c>
      <c r="E206" s="58">
        <f t="shared" si="37"/>
        <v>46136</v>
      </c>
      <c r="F206" s="58">
        <f t="shared" si="1"/>
        <v>46138</v>
      </c>
      <c r="G206" s="70">
        <f t="shared" si="38"/>
        <v>204</v>
      </c>
      <c r="H206" s="7" t="s">
        <v>1373</v>
      </c>
    </row>
    <row r="207" ht="22.5" customHeight="1">
      <c r="A207" s="129" t="s">
        <v>211</v>
      </c>
      <c r="B207" s="43">
        <f t="shared" si="2"/>
        <v>206</v>
      </c>
      <c r="C207" s="37" t="s">
        <v>212</v>
      </c>
      <c r="D207" s="17">
        <v>1.0</v>
      </c>
      <c r="E207" s="58">
        <f t="shared" si="37"/>
        <v>46138</v>
      </c>
      <c r="F207" s="58">
        <f t="shared" si="1"/>
        <v>46139</v>
      </c>
      <c r="G207" s="70">
        <f>B198</f>
        <v>197</v>
      </c>
      <c r="H207" s="7" t="s">
        <v>1373</v>
      </c>
    </row>
    <row r="208" ht="22.5" customHeight="1">
      <c r="A208" s="128"/>
      <c r="B208" s="43">
        <f t="shared" si="2"/>
        <v>207</v>
      </c>
      <c r="C208" s="39" t="s">
        <v>213</v>
      </c>
      <c r="D208" s="7">
        <v>1.0</v>
      </c>
      <c r="E208" s="58">
        <f t="shared" si="37"/>
        <v>46139</v>
      </c>
      <c r="F208" s="58">
        <f t="shared" si="1"/>
        <v>46140</v>
      </c>
      <c r="G208" s="70">
        <f t="shared" ref="G208:G209" si="39">B207</f>
        <v>206</v>
      </c>
      <c r="H208" s="7" t="s">
        <v>1373</v>
      </c>
    </row>
    <row r="209" ht="22.5" customHeight="1">
      <c r="A209" s="342"/>
      <c r="B209" s="43">
        <f t="shared" si="2"/>
        <v>208</v>
      </c>
      <c r="C209" s="39" t="s">
        <v>214</v>
      </c>
      <c r="D209" s="7">
        <v>1.0</v>
      </c>
      <c r="E209" s="58">
        <f t="shared" si="37"/>
        <v>46140</v>
      </c>
      <c r="F209" s="58">
        <f t="shared" si="1"/>
        <v>46141</v>
      </c>
      <c r="G209" s="70">
        <f t="shared" si="39"/>
        <v>207</v>
      </c>
      <c r="H209" s="7" t="s">
        <v>1373</v>
      </c>
    </row>
    <row r="210" ht="22.5" customHeight="1">
      <c r="A210" s="75" t="s">
        <v>216</v>
      </c>
      <c r="B210" s="5">
        <f t="shared" si="2"/>
        <v>209</v>
      </c>
      <c r="C210" s="78" t="s">
        <v>217</v>
      </c>
      <c r="D210" s="17">
        <v>1.0</v>
      </c>
      <c r="E210" s="58">
        <f t="shared" si="37"/>
        <v>46141</v>
      </c>
      <c r="F210" s="58">
        <f t="shared" si="1"/>
        <v>46142</v>
      </c>
      <c r="G210" s="70" t="str">
        <f>B209 &amp; "-" &amp; B206</f>
        <v>208-205</v>
      </c>
      <c r="H210" s="7" t="s">
        <v>1373</v>
      </c>
    </row>
    <row r="211" ht="22.5" customHeight="1">
      <c r="A211" s="343"/>
      <c r="B211" s="43">
        <f t="shared" si="2"/>
        <v>210</v>
      </c>
      <c r="C211" s="78" t="s">
        <v>218</v>
      </c>
      <c r="D211" s="7">
        <v>1.0</v>
      </c>
      <c r="E211" s="58">
        <f t="shared" si="37"/>
        <v>46142</v>
      </c>
      <c r="F211" s="58">
        <f t="shared" si="1"/>
        <v>46143</v>
      </c>
      <c r="G211" s="70">
        <f t="shared" ref="G211:G217" si="40">B210</f>
        <v>209</v>
      </c>
      <c r="H211" s="7" t="s">
        <v>1373</v>
      </c>
    </row>
    <row r="212" ht="22.5" customHeight="1">
      <c r="A212" s="343"/>
      <c r="B212" s="43">
        <f t="shared" si="2"/>
        <v>211</v>
      </c>
      <c r="C212" s="78" t="s">
        <v>219</v>
      </c>
      <c r="D212" s="7">
        <v>4.0</v>
      </c>
      <c r="E212" s="58">
        <f t="shared" si="37"/>
        <v>46143</v>
      </c>
      <c r="F212" s="58">
        <f t="shared" si="1"/>
        <v>46147</v>
      </c>
      <c r="G212" s="70">
        <f t="shared" si="40"/>
        <v>210</v>
      </c>
      <c r="H212" s="7" t="s">
        <v>1373</v>
      </c>
    </row>
    <row r="213" ht="22.5" customHeight="1">
      <c r="A213" s="344"/>
      <c r="B213" s="43">
        <f t="shared" si="2"/>
        <v>212</v>
      </c>
      <c r="C213" s="133" t="s">
        <v>220</v>
      </c>
      <c r="D213" s="7">
        <v>2.0</v>
      </c>
      <c r="E213" s="58">
        <f>F205</f>
        <v>46136</v>
      </c>
      <c r="F213" s="58">
        <f t="shared" si="1"/>
        <v>46138</v>
      </c>
      <c r="G213" s="70">
        <f t="shared" si="40"/>
        <v>211</v>
      </c>
      <c r="H213" s="7" t="s">
        <v>1373</v>
      </c>
    </row>
    <row r="214" ht="22.5" customHeight="1">
      <c r="A214" s="32" t="s">
        <v>221</v>
      </c>
      <c r="B214" s="43">
        <f t="shared" si="2"/>
        <v>213</v>
      </c>
      <c r="C214" s="94" t="s">
        <v>222</v>
      </c>
      <c r="D214" s="17">
        <v>1.0</v>
      </c>
      <c r="E214" s="58">
        <f t="shared" ref="E214:E220" si="41">F213</f>
        <v>46138</v>
      </c>
      <c r="F214" s="58">
        <f t="shared" si="1"/>
        <v>46139</v>
      </c>
      <c r="G214" s="70">
        <f t="shared" si="40"/>
        <v>212</v>
      </c>
      <c r="H214" s="7" t="s">
        <v>1373</v>
      </c>
    </row>
    <row r="215" ht="22.5" customHeight="1">
      <c r="A215" s="345"/>
      <c r="B215" s="43">
        <f t="shared" si="2"/>
        <v>214</v>
      </c>
      <c r="C215" s="94" t="s">
        <v>223</v>
      </c>
      <c r="D215" s="7">
        <v>1.0</v>
      </c>
      <c r="E215" s="58">
        <f t="shared" si="41"/>
        <v>46139</v>
      </c>
      <c r="F215" s="58">
        <f t="shared" si="1"/>
        <v>46140</v>
      </c>
      <c r="G215" s="70">
        <f t="shared" si="40"/>
        <v>213</v>
      </c>
      <c r="H215" s="7" t="s">
        <v>1373</v>
      </c>
    </row>
    <row r="216" ht="22.5" customHeight="1">
      <c r="A216" s="345"/>
      <c r="B216" s="43">
        <f t="shared" si="2"/>
        <v>215</v>
      </c>
      <c r="C216" s="94" t="s">
        <v>224</v>
      </c>
      <c r="D216" s="7">
        <v>4.0</v>
      </c>
      <c r="E216" s="58">
        <f t="shared" si="41"/>
        <v>46140</v>
      </c>
      <c r="F216" s="58">
        <f t="shared" si="1"/>
        <v>46144</v>
      </c>
      <c r="G216" s="70">
        <f t="shared" si="40"/>
        <v>214</v>
      </c>
      <c r="H216" s="7" t="s">
        <v>1373</v>
      </c>
    </row>
    <row r="217" ht="22.5" customHeight="1">
      <c r="A217" s="345"/>
      <c r="B217" s="43">
        <f t="shared" si="2"/>
        <v>216</v>
      </c>
      <c r="C217" s="94" t="s">
        <v>225</v>
      </c>
      <c r="D217" s="7">
        <v>2.0</v>
      </c>
      <c r="E217" s="58">
        <f t="shared" si="41"/>
        <v>46144</v>
      </c>
      <c r="F217" s="58">
        <f t="shared" si="1"/>
        <v>46146</v>
      </c>
      <c r="G217" s="70">
        <f t="shared" si="40"/>
        <v>215</v>
      </c>
      <c r="H217" s="7" t="s">
        <v>1373</v>
      </c>
    </row>
    <row r="218" ht="22.5" customHeight="1">
      <c r="A218" s="92" t="s">
        <v>226</v>
      </c>
      <c r="B218" s="43">
        <f t="shared" si="2"/>
        <v>217</v>
      </c>
      <c r="C218" s="135" t="s">
        <v>227</v>
      </c>
      <c r="D218" s="17">
        <v>1.0</v>
      </c>
      <c r="E218" s="58">
        <f t="shared" si="41"/>
        <v>46146</v>
      </c>
      <c r="F218" s="58">
        <f t="shared" si="1"/>
        <v>46147</v>
      </c>
      <c r="G218" s="70">
        <f>B213</f>
        <v>212</v>
      </c>
      <c r="H218" s="7" t="s">
        <v>1373</v>
      </c>
    </row>
    <row r="219" ht="22.5" customHeight="1">
      <c r="A219" s="346"/>
      <c r="B219" s="43">
        <f t="shared" si="2"/>
        <v>218</v>
      </c>
      <c r="C219" s="135" t="s">
        <v>228</v>
      </c>
      <c r="D219" s="7">
        <v>1.0</v>
      </c>
      <c r="E219" s="58">
        <f t="shared" si="41"/>
        <v>46147</v>
      </c>
      <c r="F219" s="58">
        <f t="shared" si="1"/>
        <v>46148</v>
      </c>
      <c r="G219" s="70">
        <f t="shared" ref="G219:G225" si="42">B218</f>
        <v>217</v>
      </c>
      <c r="H219" s="7" t="s">
        <v>1373</v>
      </c>
    </row>
    <row r="220" ht="22.5" customHeight="1">
      <c r="A220" s="346"/>
      <c r="B220" s="43">
        <f t="shared" si="2"/>
        <v>219</v>
      </c>
      <c r="C220" s="135" t="s">
        <v>229</v>
      </c>
      <c r="D220" s="7">
        <v>4.0</v>
      </c>
      <c r="E220" s="58">
        <f t="shared" si="41"/>
        <v>46148</v>
      </c>
      <c r="F220" s="58">
        <f t="shared" si="1"/>
        <v>46152</v>
      </c>
      <c r="G220" s="70">
        <f t="shared" si="42"/>
        <v>218</v>
      </c>
      <c r="H220" s="7" t="s">
        <v>1373</v>
      </c>
    </row>
    <row r="221" ht="22.5" customHeight="1">
      <c r="A221" s="347"/>
      <c r="B221" s="74">
        <f t="shared" si="2"/>
        <v>220</v>
      </c>
      <c r="C221" s="138" t="s">
        <v>230</v>
      </c>
      <c r="D221" s="7">
        <v>2.0</v>
      </c>
      <c r="E221" s="58">
        <f>F213</f>
        <v>46138</v>
      </c>
      <c r="F221" s="58">
        <f t="shared" si="1"/>
        <v>46140</v>
      </c>
      <c r="G221" s="70">
        <f t="shared" si="42"/>
        <v>219</v>
      </c>
      <c r="H221" s="7" t="s">
        <v>1373</v>
      </c>
    </row>
    <row r="222" ht="22.5" customHeight="1">
      <c r="A222" s="112" t="s">
        <v>231</v>
      </c>
      <c r="B222" s="28">
        <f t="shared" si="2"/>
        <v>221</v>
      </c>
      <c r="C222" s="139" t="s">
        <v>232</v>
      </c>
      <c r="D222" s="7">
        <v>1.0</v>
      </c>
      <c r="E222" s="8">
        <f t="shared" ref="E222:E228" si="43">F221</f>
        <v>46140</v>
      </c>
      <c r="F222" s="8">
        <f t="shared" si="1"/>
        <v>46141</v>
      </c>
      <c r="G222" s="70">
        <f t="shared" si="42"/>
        <v>220</v>
      </c>
      <c r="H222" s="7" t="s">
        <v>1373</v>
      </c>
    </row>
    <row r="223" ht="22.5" customHeight="1">
      <c r="A223" s="348"/>
      <c r="B223" s="74">
        <f t="shared" si="2"/>
        <v>222</v>
      </c>
      <c r="C223" s="139" t="s">
        <v>233</v>
      </c>
      <c r="D223" s="7">
        <v>4.0</v>
      </c>
      <c r="E223" s="8">
        <f t="shared" si="43"/>
        <v>46141</v>
      </c>
      <c r="F223" s="8">
        <f t="shared" si="1"/>
        <v>46145</v>
      </c>
      <c r="G223" s="70">
        <f t="shared" si="42"/>
        <v>221</v>
      </c>
      <c r="H223" s="7" t="s">
        <v>1373</v>
      </c>
    </row>
    <row r="224" ht="22.5" customHeight="1">
      <c r="A224" s="349"/>
      <c r="B224" s="108">
        <f t="shared" si="2"/>
        <v>223</v>
      </c>
      <c r="C224" s="139" t="s">
        <v>234</v>
      </c>
      <c r="D224" s="7">
        <v>2.0</v>
      </c>
      <c r="E224" s="8">
        <f t="shared" si="43"/>
        <v>46145</v>
      </c>
      <c r="F224" s="8">
        <f t="shared" si="1"/>
        <v>46147</v>
      </c>
      <c r="G224" s="70">
        <f t="shared" si="42"/>
        <v>222</v>
      </c>
      <c r="H224" s="7" t="s">
        <v>1373</v>
      </c>
    </row>
    <row r="225" ht="22.5" customHeight="1">
      <c r="A225" s="349"/>
      <c r="B225" s="142">
        <f t="shared" si="2"/>
        <v>224</v>
      </c>
      <c r="C225" s="139" t="s">
        <v>235</v>
      </c>
      <c r="D225" s="17">
        <v>1.0</v>
      </c>
      <c r="E225" s="8">
        <f t="shared" si="43"/>
        <v>46147</v>
      </c>
      <c r="F225" s="8">
        <f t="shared" si="1"/>
        <v>46148</v>
      </c>
      <c r="G225" s="70">
        <f t="shared" si="42"/>
        <v>223</v>
      </c>
      <c r="H225" s="7" t="s">
        <v>1373</v>
      </c>
    </row>
    <row r="226" ht="22.5" customHeight="1">
      <c r="A226" s="143" t="s">
        <v>236</v>
      </c>
      <c r="B226" s="142">
        <f t="shared" si="2"/>
        <v>225</v>
      </c>
      <c r="C226" s="144" t="s">
        <v>237</v>
      </c>
      <c r="D226" s="21">
        <v>1.0</v>
      </c>
      <c r="E226" s="22">
        <f t="shared" si="43"/>
        <v>46148</v>
      </c>
      <c r="F226" s="22">
        <f t="shared" si="1"/>
        <v>46149</v>
      </c>
      <c r="G226" s="142" t="str">
        <f>B176 &amp; "-" &amp; B213</f>
        <v>175-212</v>
      </c>
      <c r="H226" s="21" t="s">
        <v>1373</v>
      </c>
    </row>
    <row r="227" ht="22.5" customHeight="1">
      <c r="A227" s="350"/>
      <c r="B227" s="108">
        <f t="shared" si="2"/>
        <v>226</v>
      </c>
      <c r="C227" s="144" t="s">
        <v>238</v>
      </c>
      <c r="D227" s="23">
        <v>4.0</v>
      </c>
      <c r="E227" s="24">
        <f t="shared" si="43"/>
        <v>46149</v>
      </c>
      <c r="F227" s="24">
        <f t="shared" si="1"/>
        <v>46153</v>
      </c>
      <c r="G227" s="108">
        <f t="shared" ref="G227:G229" si="44">B226</f>
        <v>225</v>
      </c>
      <c r="H227" s="23" t="s">
        <v>1373</v>
      </c>
    </row>
    <row r="228" ht="22.5" customHeight="1">
      <c r="A228" s="350"/>
      <c r="B228" s="142">
        <f t="shared" si="2"/>
        <v>227</v>
      </c>
      <c r="C228" s="144" t="s">
        <v>239</v>
      </c>
      <c r="D228" s="21">
        <v>2.0</v>
      </c>
      <c r="E228" s="22">
        <f t="shared" si="43"/>
        <v>46153</v>
      </c>
      <c r="F228" s="22">
        <f t="shared" si="1"/>
        <v>46155</v>
      </c>
      <c r="G228" s="142">
        <f t="shared" si="44"/>
        <v>226</v>
      </c>
      <c r="H228" s="21" t="s">
        <v>1373</v>
      </c>
    </row>
    <row r="229" ht="22.5" customHeight="1">
      <c r="A229" s="350"/>
      <c r="B229" s="108">
        <f t="shared" si="2"/>
        <v>228</v>
      </c>
      <c r="C229" s="144" t="s">
        <v>240</v>
      </c>
      <c r="D229" s="23">
        <v>1.0</v>
      </c>
      <c r="E229" s="24">
        <f>F221</f>
        <v>46140</v>
      </c>
      <c r="F229" s="24">
        <f t="shared" si="1"/>
        <v>46141</v>
      </c>
      <c r="G229" s="142">
        <f t="shared" si="44"/>
        <v>227</v>
      </c>
      <c r="H229" s="23" t="s">
        <v>1373</v>
      </c>
    </row>
    <row r="230" ht="22.5" customHeight="1">
      <c r="A230" s="351" t="s">
        <v>241</v>
      </c>
      <c r="B230" s="142">
        <f t="shared" si="2"/>
        <v>229</v>
      </c>
      <c r="C230" s="94" t="s">
        <v>242</v>
      </c>
      <c r="D230" s="21">
        <v>1.0</v>
      </c>
      <c r="E230" s="22">
        <f t="shared" ref="E230:E236" si="45">F229</f>
        <v>46141</v>
      </c>
      <c r="F230" s="22">
        <f t="shared" si="1"/>
        <v>46142</v>
      </c>
      <c r="G230" s="142" t="str">
        <f>B176 &amp; "-" &amp;B217</f>
        <v>175-216</v>
      </c>
      <c r="H230" s="21" t="s">
        <v>1373</v>
      </c>
    </row>
    <row r="231" ht="22.5" customHeight="1">
      <c r="A231" s="352"/>
      <c r="B231" s="108">
        <f t="shared" si="2"/>
        <v>230</v>
      </c>
      <c r="C231" s="94" t="s">
        <v>243</v>
      </c>
      <c r="D231" s="23">
        <v>4.0</v>
      </c>
      <c r="E231" s="24">
        <f t="shared" si="45"/>
        <v>46142</v>
      </c>
      <c r="F231" s="24">
        <f t="shared" si="1"/>
        <v>46146</v>
      </c>
      <c r="G231" s="108">
        <f t="shared" ref="G231:G233" si="46">B230</f>
        <v>229</v>
      </c>
      <c r="H231" s="23" t="s">
        <v>1373</v>
      </c>
    </row>
    <row r="232" ht="22.5" customHeight="1">
      <c r="A232" s="352"/>
      <c r="B232" s="142">
        <f t="shared" si="2"/>
        <v>231</v>
      </c>
      <c r="C232" s="94" t="s">
        <v>244</v>
      </c>
      <c r="D232" s="21">
        <v>2.0</v>
      </c>
      <c r="E232" s="22">
        <f t="shared" si="45"/>
        <v>46146</v>
      </c>
      <c r="F232" s="22">
        <f t="shared" si="1"/>
        <v>46148</v>
      </c>
      <c r="G232" s="142">
        <f t="shared" si="46"/>
        <v>230</v>
      </c>
      <c r="H232" s="21" t="s">
        <v>1373</v>
      </c>
    </row>
    <row r="233" ht="22.5" customHeight="1">
      <c r="A233" s="352"/>
      <c r="B233" s="108">
        <f t="shared" si="2"/>
        <v>232</v>
      </c>
      <c r="C233" s="94" t="s">
        <v>245</v>
      </c>
      <c r="D233" s="23">
        <v>1.0</v>
      </c>
      <c r="E233" s="24">
        <f t="shared" si="45"/>
        <v>46148</v>
      </c>
      <c r="F233" s="24">
        <f t="shared" si="1"/>
        <v>46149</v>
      </c>
      <c r="G233" s="142">
        <f t="shared" si="46"/>
        <v>231</v>
      </c>
      <c r="H233" s="23" t="s">
        <v>1373</v>
      </c>
    </row>
    <row r="234" ht="22.5" customHeight="1">
      <c r="A234" s="353" t="s">
        <v>246</v>
      </c>
      <c r="B234" s="142">
        <f t="shared" si="2"/>
        <v>233</v>
      </c>
      <c r="C234" s="149" t="s">
        <v>247</v>
      </c>
      <c r="D234" s="21">
        <v>1.0</v>
      </c>
      <c r="E234" s="22">
        <f t="shared" si="45"/>
        <v>46149</v>
      </c>
      <c r="F234" s="22">
        <f t="shared" si="1"/>
        <v>46150</v>
      </c>
      <c r="G234" s="142" t="str">
        <f>B176 &amp; "-" &amp;B225</f>
        <v>175-224</v>
      </c>
      <c r="H234" s="21" t="s">
        <v>1373</v>
      </c>
    </row>
    <row r="235" ht="22.5" customHeight="1">
      <c r="A235" s="354"/>
      <c r="B235" s="108">
        <f t="shared" si="2"/>
        <v>234</v>
      </c>
      <c r="C235" s="149" t="s">
        <v>248</v>
      </c>
      <c r="D235" s="23">
        <v>4.0</v>
      </c>
      <c r="E235" s="24">
        <f t="shared" si="45"/>
        <v>46150</v>
      </c>
      <c r="F235" s="24">
        <f t="shared" si="1"/>
        <v>46154</v>
      </c>
      <c r="G235" s="108">
        <f t="shared" ref="G235:G237" si="47">B234</f>
        <v>233</v>
      </c>
      <c r="H235" s="23" t="s">
        <v>1373</v>
      </c>
    </row>
    <row r="236" ht="22.5" customHeight="1">
      <c r="A236" s="354"/>
      <c r="B236" s="142">
        <f t="shared" si="2"/>
        <v>235</v>
      </c>
      <c r="C236" s="149" t="s">
        <v>249</v>
      </c>
      <c r="D236" s="21">
        <v>2.0</v>
      </c>
      <c r="E236" s="22">
        <f t="shared" si="45"/>
        <v>46154</v>
      </c>
      <c r="F236" s="22">
        <f t="shared" si="1"/>
        <v>46156</v>
      </c>
      <c r="G236" s="142">
        <f t="shared" si="47"/>
        <v>234</v>
      </c>
      <c r="H236" s="21" t="s">
        <v>1373</v>
      </c>
    </row>
    <row r="237" ht="22.5" customHeight="1">
      <c r="A237" s="354"/>
      <c r="B237" s="108">
        <f t="shared" si="2"/>
        <v>236</v>
      </c>
      <c r="C237" s="149" t="s">
        <v>250</v>
      </c>
      <c r="D237" s="23">
        <v>1.0</v>
      </c>
      <c r="E237" s="24">
        <f>F229</f>
        <v>46141</v>
      </c>
      <c r="F237" s="24">
        <f t="shared" si="1"/>
        <v>46142</v>
      </c>
      <c r="G237" s="142">
        <f t="shared" si="47"/>
        <v>235</v>
      </c>
      <c r="H237" s="23" t="s">
        <v>1373</v>
      </c>
    </row>
    <row r="238" ht="22.5" customHeight="1">
      <c r="A238" s="75" t="s">
        <v>251</v>
      </c>
      <c r="B238" s="108">
        <f t="shared" si="2"/>
        <v>237</v>
      </c>
      <c r="C238" s="133" t="s">
        <v>252</v>
      </c>
      <c r="D238" s="101">
        <v>1.0</v>
      </c>
      <c r="E238" s="24">
        <f>F225</f>
        <v>46148</v>
      </c>
      <c r="F238" s="24">
        <f t="shared" si="1"/>
        <v>46149</v>
      </c>
      <c r="G238" s="108">
        <f>B213</f>
        <v>212</v>
      </c>
      <c r="H238" s="23" t="s">
        <v>1373</v>
      </c>
    </row>
    <row r="239" ht="22.5" customHeight="1">
      <c r="A239" s="355"/>
      <c r="B239" s="108">
        <f t="shared" si="2"/>
        <v>238</v>
      </c>
      <c r="C239" s="133" t="s">
        <v>253</v>
      </c>
      <c r="D239" s="106">
        <v>2.0</v>
      </c>
      <c r="E239" s="22">
        <f t="shared" ref="E239:E385" si="48">F238</f>
        <v>46149</v>
      </c>
      <c r="F239" s="22">
        <f t="shared" si="1"/>
        <v>46151</v>
      </c>
      <c r="G239" s="142">
        <f t="shared" ref="G239:G241" si="49">B238</f>
        <v>237</v>
      </c>
      <c r="H239" s="21" t="s">
        <v>1373</v>
      </c>
    </row>
    <row r="240" ht="22.5" customHeight="1">
      <c r="A240" s="355"/>
      <c r="B240" s="108">
        <f t="shared" si="2"/>
        <v>239</v>
      </c>
      <c r="C240" s="133" t="s">
        <v>254</v>
      </c>
      <c r="D240" s="101">
        <v>4.0</v>
      </c>
      <c r="E240" s="24">
        <f t="shared" si="48"/>
        <v>46151</v>
      </c>
      <c r="F240" s="24">
        <f t="shared" si="1"/>
        <v>46155</v>
      </c>
      <c r="G240" s="108">
        <f t="shared" si="49"/>
        <v>238</v>
      </c>
      <c r="H240" s="23" t="s">
        <v>1373</v>
      </c>
    </row>
    <row r="241" ht="22.5" customHeight="1">
      <c r="A241" s="356"/>
      <c r="B241" s="108">
        <f t="shared" si="2"/>
        <v>240</v>
      </c>
      <c r="C241" s="133" t="s">
        <v>255</v>
      </c>
      <c r="D241" s="108">
        <v>2.0</v>
      </c>
      <c r="E241" s="22">
        <f t="shared" si="48"/>
        <v>46155</v>
      </c>
      <c r="F241" s="22">
        <f t="shared" si="1"/>
        <v>46157</v>
      </c>
      <c r="G241" s="142">
        <f t="shared" si="49"/>
        <v>239</v>
      </c>
      <c r="H241" s="21" t="s">
        <v>1373</v>
      </c>
    </row>
    <row r="242" ht="22.5" customHeight="1">
      <c r="A242" s="32" t="s">
        <v>256</v>
      </c>
      <c r="B242" s="108">
        <f t="shared" si="2"/>
        <v>241</v>
      </c>
      <c r="C242" s="153" t="s">
        <v>257</v>
      </c>
      <c r="D242" s="101">
        <v>1.0</v>
      </c>
      <c r="E242" s="24">
        <f t="shared" si="48"/>
        <v>46157</v>
      </c>
      <c r="F242" s="24">
        <f t="shared" si="1"/>
        <v>46158</v>
      </c>
      <c r="G242" s="108">
        <f>B217</f>
        <v>216</v>
      </c>
      <c r="H242" s="23" t="s">
        <v>1373</v>
      </c>
    </row>
    <row r="243" ht="22.5" customHeight="1">
      <c r="A243" s="357"/>
      <c r="B243" s="104">
        <f t="shared" si="2"/>
        <v>242</v>
      </c>
      <c r="C243" s="153" t="s">
        <v>258</v>
      </c>
      <c r="D243" s="106">
        <v>2.0</v>
      </c>
      <c r="E243" s="22">
        <f t="shared" si="48"/>
        <v>46158</v>
      </c>
      <c r="F243" s="22">
        <f t="shared" si="1"/>
        <v>46160</v>
      </c>
      <c r="G243" s="142">
        <f t="shared" ref="G243:G245" si="50">B242</f>
        <v>241</v>
      </c>
      <c r="H243" s="21" t="s">
        <v>1373</v>
      </c>
    </row>
    <row r="244" ht="22.5" customHeight="1">
      <c r="A244" s="357"/>
      <c r="B244" s="108">
        <f t="shared" si="2"/>
        <v>243</v>
      </c>
      <c r="C244" s="153" t="s">
        <v>259</v>
      </c>
      <c r="D244" s="101">
        <v>4.0</v>
      </c>
      <c r="E244" s="24">
        <f t="shared" si="48"/>
        <v>46160</v>
      </c>
      <c r="F244" s="24">
        <f t="shared" si="1"/>
        <v>46164</v>
      </c>
      <c r="G244" s="108">
        <f t="shared" si="50"/>
        <v>242</v>
      </c>
      <c r="H244" s="106" t="s">
        <v>1373</v>
      </c>
    </row>
    <row r="245" ht="22.5" customHeight="1">
      <c r="A245" s="358"/>
      <c r="B245" s="108">
        <f t="shared" si="2"/>
        <v>244</v>
      </c>
      <c r="C245" s="153" t="s">
        <v>260</v>
      </c>
      <c r="D245" s="108">
        <v>2.0</v>
      </c>
      <c r="E245" s="24">
        <f t="shared" si="48"/>
        <v>46164</v>
      </c>
      <c r="F245" s="24">
        <f t="shared" si="1"/>
        <v>46166</v>
      </c>
      <c r="G245" s="108">
        <f t="shared" si="50"/>
        <v>243</v>
      </c>
      <c r="H245" s="21" t="s">
        <v>1373</v>
      </c>
    </row>
    <row r="246" ht="22.5" customHeight="1">
      <c r="A246" s="112" t="s">
        <v>261</v>
      </c>
      <c r="B246" s="108">
        <f t="shared" si="2"/>
        <v>245</v>
      </c>
      <c r="C246" s="113" t="s">
        <v>262</v>
      </c>
      <c r="D246" s="101">
        <v>1.0</v>
      </c>
      <c r="E246" s="22">
        <f t="shared" si="48"/>
        <v>46166</v>
      </c>
      <c r="F246" s="22">
        <f t="shared" si="1"/>
        <v>46167</v>
      </c>
      <c r="G246" s="142">
        <f>B225</f>
        <v>224</v>
      </c>
      <c r="H246" s="23" t="s">
        <v>1373</v>
      </c>
    </row>
    <row r="247" ht="22.5" customHeight="1">
      <c r="A247" s="359"/>
      <c r="B247" s="108">
        <f t="shared" si="2"/>
        <v>246</v>
      </c>
      <c r="C247" s="113" t="s">
        <v>263</v>
      </c>
      <c r="D247" s="106">
        <v>2.0</v>
      </c>
      <c r="E247" s="24">
        <f t="shared" si="48"/>
        <v>46167</v>
      </c>
      <c r="F247" s="24">
        <f t="shared" si="1"/>
        <v>46169</v>
      </c>
      <c r="G247" s="108">
        <f t="shared" ref="G247:G250" si="51">B246</f>
        <v>245</v>
      </c>
      <c r="H247" s="21" t="s">
        <v>1373</v>
      </c>
    </row>
    <row r="248" ht="22.5" customHeight="1">
      <c r="A248" s="359"/>
      <c r="B248" s="108">
        <f t="shared" si="2"/>
        <v>247</v>
      </c>
      <c r="C248" s="113" t="s">
        <v>264</v>
      </c>
      <c r="D248" s="106">
        <v>2.0</v>
      </c>
      <c r="E248" s="22">
        <f t="shared" si="48"/>
        <v>46169</v>
      </c>
      <c r="F248" s="22">
        <f t="shared" si="1"/>
        <v>46171</v>
      </c>
      <c r="G248" s="142">
        <f t="shared" si="51"/>
        <v>246</v>
      </c>
      <c r="H248" s="23" t="s">
        <v>1373</v>
      </c>
    </row>
    <row r="249" ht="22.5" customHeight="1">
      <c r="A249" s="359"/>
      <c r="B249" s="108">
        <f t="shared" si="2"/>
        <v>248</v>
      </c>
      <c r="C249" s="113" t="s">
        <v>265</v>
      </c>
      <c r="D249" s="101">
        <v>4.0</v>
      </c>
      <c r="E249" s="24">
        <f t="shared" si="48"/>
        <v>46171</v>
      </c>
      <c r="F249" s="24">
        <f t="shared" si="1"/>
        <v>46175</v>
      </c>
      <c r="G249" s="108">
        <f t="shared" si="51"/>
        <v>247</v>
      </c>
      <c r="H249" s="21" t="s">
        <v>1373</v>
      </c>
    </row>
    <row r="250" ht="22.5" customHeight="1">
      <c r="A250" s="348"/>
      <c r="B250" s="104">
        <f t="shared" si="2"/>
        <v>249</v>
      </c>
      <c r="C250" s="113" t="s">
        <v>266</v>
      </c>
      <c r="D250" s="108">
        <v>2.0</v>
      </c>
      <c r="E250" s="22">
        <f t="shared" si="48"/>
        <v>46175</v>
      </c>
      <c r="F250" s="22">
        <f t="shared" si="1"/>
        <v>46177</v>
      </c>
      <c r="G250" s="142">
        <f t="shared" si="51"/>
        <v>248</v>
      </c>
      <c r="H250" s="23" t="s">
        <v>1373</v>
      </c>
    </row>
    <row r="251" ht="22.5" customHeight="1">
      <c r="A251" s="348"/>
      <c r="B251" s="104">
        <f t="shared" si="2"/>
        <v>250</v>
      </c>
      <c r="C251" s="157" t="s">
        <v>267</v>
      </c>
      <c r="D251" s="101">
        <v>1.0</v>
      </c>
      <c r="E251" s="24">
        <f t="shared" si="48"/>
        <v>46177</v>
      </c>
      <c r="F251" s="24">
        <f t="shared" si="1"/>
        <v>46178</v>
      </c>
      <c r="G251" s="108">
        <f>B225</f>
        <v>224</v>
      </c>
      <c r="H251" s="21" t="s">
        <v>1373</v>
      </c>
    </row>
    <row r="252" ht="22.5" customHeight="1">
      <c r="A252" s="348"/>
      <c r="B252" s="104">
        <f t="shared" si="2"/>
        <v>251</v>
      </c>
      <c r="C252" s="157" t="s">
        <v>268</v>
      </c>
      <c r="D252" s="106">
        <v>2.0</v>
      </c>
      <c r="E252" s="22">
        <f t="shared" si="48"/>
        <v>46178</v>
      </c>
      <c r="F252" s="22">
        <f t="shared" si="1"/>
        <v>46180</v>
      </c>
      <c r="G252" s="142">
        <f t="shared" ref="G252:G254" si="52">B251</f>
        <v>250</v>
      </c>
      <c r="H252" s="23" t="s">
        <v>1373</v>
      </c>
    </row>
    <row r="253" ht="22.5" customHeight="1">
      <c r="A253" s="348"/>
      <c r="B253" s="104">
        <f t="shared" si="2"/>
        <v>252</v>
      </c>
      <c r="C253" s="157" t="s">
        <v>269</v>
      </c>
      <c r="D253" s="101">
        <v>4.0</v>
      </c>
      <c r="E253" s="24">
        <f t="shared" si="48"/>
        <v>46180</v>
      </c>
      <c r="F253" s="24">
        <f t="shared" si="1"/>
        <v>46184</v>
      </c>
      <c r="G253" s="108">
        <f t="shared" si="52"/>
        <v>251</v>
      </c>
      <c r="H253" s="21" t="s">
        <v>1373</v>
      </c>
    </row>
    <row r="254" ht="22.5" customHeight="1">
      <c r="A254" s="360"/>
      <c r="B254" s="159">
        <f t="shared" si="2"/>
        <v>253</v>
      </c>
      <c r="C254" s="160" t="s">
        <v>270</v>
      </c>
      <c r="D254" s="161">
        <v>2.0</v>
      </c>
      <c r="E254" s="162">
        <f t="shared" si="48"/>
        <v>46184</v>
      </c>
      <c r="F254" s="162">
        <f t="shared" si="1"/>
        <v>46186</v>
      </c>
      <c r="G254" s="161">
        <f t="shared" si="52"/>
        <v>252</v>
      </c>
      <c r="H254" s="361" t="s">
        <v>1373</v>
      </c>
    </row>
    <row r="255" ht="22.5" customHeight="1">
      <c r="A255" s="85" t="s">
        <v>8</v>
      </c>
      <c r="B255" s="86">
        <f t="shared" si="2"/>
        <v>254</v>
      </c>
      <c r="C255" s="87" t="s">
        <v>271</v>
      </c>
      <c r="D255" s="57">
        <v>4.0</v>
      </c>
      <c r="E255" s="8">
        <f t="shared" si="48"/>
        <v>46186</v>
      </c>
      <c r="F255" s="59">
        <f t="shared" si="1"/>
        <v>46190</v>
      </c>
      <c r="G255" s="88" t="s">
        <v>12</v>
      </c>
      <c r="H255" s="57" t="s">
        <v>1373</v>
      </c>
    </row>
    <row r="256" ht="22.5" customHeight="1">
      <c r="A256" s="15" t="s">
        <v>186</v>
      </c>
      <c r="B256" s="5">
        <f t="shared" si="2"/>
        <v>255</v>
      </c>
      <c r="C256" s="67" t="s">
        <v>272</v>
      </c>
      <c r="D256" s="17">
        <v>1.0</v>
      </c>
      <c r="E256" s="8">
        <f t="shared" si="48"/>
        <v>46190</v>
      </c>
      <c r="F256" s="58">
        <f t="shared" si="1"/>
        <v>46191</v>
      </c>
      <c r="G256" s="70">
        <f t="shared" ref="G256:G289" si="53">B255</f>
        <v>254</v>
      </c>
      <c r="H256" s="7" t="s">
        <v>1373</v>
      </c>
    </row>
    <row r="257" ht="22.5" customHeight="1">
      <c r="A257" s="120"/>
      <c r="B257" s="43">
        <f t="shared" si="2"/>
        <v>256</v>
      </c>
      <c r="C257" s="67" t="s">
        <v>273</v>
      </c>
      <c r="D257" s="7">
        <v>1.0</v>
      </c>
      <c r="E257" s="8">
        <f t="shared" si="48"/>
        <v>46191</v>
      </c>
      <c r="F257" s="58">
        <f t="shared" si="1"/>
        <v>46192</v>
      </c>
      <c r="G257" s="70">
        <f t="shared" si="53"/>
        <v>255</v>
      </c>
      <c r="H257" s="7" t="s">
        <v>1373</v>
      </c>
    </row>
    <row r="258" ht="22.5" customHeight="1">
      <c r="A258" s="120"/>
      <c r="B258" s="43">
        <f t="shared" si="2"/>
        <v>257</v>
      </c>
      <c r="C258" s="67" t="s">
        <v>274</v>
      </c>
      <c r="D258" s="7">
        <v>1.0</v>
      </c>
      <c r="E258" s="8">
        <f t="shared" si="48"/>
        <v>46192</v>
      </c>
      <c r="F258" s="58">
        <f t="shared" si="1"/>
        <v>46193</v>
      </c>
      <c r="G258" s="70">
        <f t="shared" si="53"/>
        <v>256</v>
      </c>
      <c r="H258" s="7" t="s">
        <v>1373</v>
      </c>
    </row>
    <row r="259" ht="22.5" customHeight="1">
      <c r="A259" s="120"/>
      <c r="B259" s="43">
        <f t="shared" si="2"/>
        <v>258</v>
      </c>
      <c r="C259" s="67" t="s">
        <v>275</v>
      </c>
      <c r="D259" s="7">
        <v>2.0</v>
      </c>
      <c r="E259" s="8">
        <f t="shared" si="48"/>
        <v>46193</v>
      </c>
      <c r="F259" s="58">
        <f t="shared" si="1"/>
        <v>46195</v>
      </c>
      <c r="G259" s="70">
        <f t="shared" si="53"/>
        <v>257</v>
      </c>
      <c r="H259" s="7" t="s">
        <v>1373</v>
      </c>
    </row>
    <row r="260" ht="22.5" customHeight="1">
      <c r="A260" s="120"/>
      <c r="B260" s="43">
        <f t="shared" si="2"/>
        <v>259</v>
      </c>
      <c r="C260" s="67" t="s">
        <v>276</v>
      </c>
      <c r="D260" s="17">
        <v>1.0</v>
      </c>
      <c r="E260" s="8">
        <f t="shared" si="48"/>
        <v>46195</v>
      </c>
      <c r="F260" s="58">
        <f t="shared" si="1"/>
        <v>46196</v>
      </c>
      <c r="G260" s="70">
        <f t="shared" si="53"/>
        <v>258</v>
      </c>
      <c r="H260" s="7" t="s">
        <v>1373</v>
      </c>
    </row>
    <row r="261" ht="22.5" customHeight="1">
      <c r="A261" s="120"/>
      <c r="B261" s="43">
        <f t="shared" si="2"/>
        <v>260</v>
      </c>
      <c r="C261" s="67" t="s">
        <v>277</v>
      </c>
      <c r="D261" s="7">
        <v>1.0</v>
      </c>
      <c r="E261" s="8">
        <f t="shared" si="48"/>
        <v>46196</v>
      </c>
      <c r="F261" s="58">
        <f t="shared" si="1"/>
        <v>46197</v>
      </c>
      <c r="G261" s="70">
        <f t="shared" si="53"/>
        <v>259</v>
      </c>
      <c r="H261" s="7" t="s">
        <v>1373</v>
      </c>
    </row>
    <row r="262" ht="22.5" customHeight="1">
      <c r="A262" s="338"/>
      <c r="B262" s="43">
        <f t="shared" si="2"/>
        <v>261</v>
      </c>
      <c r="C262" s="67" t="s">
        <v>278</v>
      </c>
      <c r="D262" s="7">
        <v>1.0</v>
      </c>
      <c r="E262" s="8">
        <f t="shared" si="48"/>
        <v>46197</v>
      </c>
      <c r="F262" s="58">
        <f t="shared" si="1"/>
        <v>46198</v>
      </c>
      <c r="G262" s="70">
        <f t="shared" si="53"/>
        <v>260</v>
      </c>
      <c r="H262" s="7" t="s">
        <v>1373</v>
      </c>
    </row>
    <row r="263" ht="22.5" customHeight="1">
      <c r="A263" s="338"/>
      <c r="B263" s="43">
        <f t="shared" si="2"/>
        <v>262</v>
      </c>
      <c r="C263" s="20" t="s">
        <v>29</v>
      </c>
      <c r="D263" s="17">
        <v>1.0</v>
      </c>
      <c r="E263" s="8">
        <f t="shared" si="48"/>
        <v>46198</v>
      </c>
      <c r="F263" s="58">
        <f t="shared" si="1"/>
        <v>46199</v>
      </c>
      <c r="G263" s="70">
        <f t="shared" si="53"/>
        <v>261</v>
      </c>
      <c r="H263" s="7" t="s">
        <v>1373</v>
      </c>
    </row>
    <row r="264" ht="22.5" customHeight="1">
      <c r="A264" s="338"/>
      <c r="B264" s="43">
        <f t="shared" si="2"/>
        <v>263</v>
      </c>
      <c r="C264" s="67" t="s">
        <v>30</v>
      </c>
      <c r="D264" s="17">
        <v>1.0</v>
      </c>
      <c r="E264" s="8">
        <f t="shared" si="48"/>
        <v>46199</v>
      </c>
      <c r="F264" s="58">
        <f t="shared" si="1"/>
        <v>46200</v>
      </c>
      <c r="G264" s="70">
        <f t="shared" si="53"/>
        <v>262</v>
      </c>
      <c r="H264" s="7" t="s">
        <v>1373</v>
      </c>
    </row>
    <row r="265" ht="22.5" customHeight="1">
      <c r="A265" s="338"/>
      <c r="B265" s="43">
        <f t="shared" si="2"/>
        <v>264</v>
      </c>
      <c r="C265" s="67" t="s">
        <v>31</v>
      </c>
      <c r="D265" s="7">
        <v>1.0</v>
      </c>
      <c r="E265" s="8">
        <f t="shared" si="48"/>
        <v>46200</v>
      </c>
      <c r="F265" s="58">
        <f t="shared" si="1"/>
        <v>46201</v>
      </c>
      <c r="G265" s="70">
        <f t="shared" si="53"/>
        <v>263</v>
      </c>
      <c r="H265" s="7" t="s">
        <v>1373</v>
      </c>
    </row>
    <row r="266" ht="22.5" customHeight="1">
      <c r="A266" s="338"/>
      <c r="B266" s="43">
        <f t="shared" si="2"/>
        <v>265</v>
      </c>
      <c r="C266" s="67" t="s">
        <v>127</v>
      </c>
      <c r="D266" s="7">
        <v>1.0</v>
      </c>
      <c r="E266" s="8">
        <f t="shared" si="48"/>
        <v>46201</v>
      </c>
      <c r="F266" s="58">
        <f t="shared" si="1"/>
        <v>46202</v>
      </c>
      <c r="G266" s="70">
        <f t="shared" si="53"/>
        <v>264</v>
      </c>
      <c r="H266" s="7" t="s">
        <v>1373</v>
      </c>
    </row>
    <row r="267" ht="22.5" customHeight="1">
      <c r="A267" s="338"/>
      <c r="B267" s="43">
        <f t="shared" si="2"/>
        <v>266</v>
      </c>
      <c r="C267" s="67" t="s">
        <v>33</v>
      </c>
      <c r="D267" s="7">
        <v>1.0</v>
      </c>
      <c r="E267" s="8">
        <f t="shared" si="48"/>
        <v>46202</v>
      </c>
      <c r="F267" s="58">
        <f t="shared" si="1"/>
        <v>46203</v>
      </c>
      <c r="G267" s="70">
        <f t="shared" si="53"/>
        <v>265</v>
      </c>
      <c r="H267" s="7" t="s">
        <v>1373</v>
      </c>
    </row>
    <row r="268" ht="22.5" customHeight="1">
      <c r="A268" s="338"/>
      <c r="B268" s="43">
        <f t="shared" si="2"/>
        <v>267</v>
      </c>
      <c r="C268" s="67" t="s">
        <v>128</v>
      </c>
      <c r="D268" s="7">
        <v>2.0</v>
      </c>
      <c r="E268" s="8">
        <f t="shared" si="48"/>
        <v>46203</v>
      </c>
      <c r="F268" s="58">
        <f t="shared" si="1"/>
        <v>46205</v>
      </c>
      <c r="G268" s="70">
        <f t="shared" si="53"/>
        <v>266</v>
      </c>
      <c r="H268" s="7" t="s">
        <v>1373</v>
      </c>
    </row>
    <row r="269" ht="22.5" customHeight="1">
      <c r="A269" s="339"/>
      <c r="B269" s="5">
        <f t="shared" si="2"/>
        <v>268</v>
      </c>
      <c r="C269" s="20" t="s">
        <v>35</v>
      </c>
      <c r="D269" s="7">
        <v>1.0</v>
      </c>
      <c r="E269" s="8">
        <f t="shared" si="48"/>
        <v>46205</v>
      </c>
      <c r="F269" s="58">
        <f t="shared" si="1"/>
        <v>46206</v>
      </c>
      <c r="G269" s="70">
        <f t="shared" si="53"/>
        <v>267</v>
      </c>
      <c r="H269" s="7" t="s">
        <v>1373</v>
      </c>
    </row>
    <row r="270" ht="22.5" customHeight="1">
      <c r="A270" s="338"/>
      <c r="B270" s="43">
        <f t="shared" si="2"/>
        <v>269</v>
      </c>
      <c r="C270" s="67" t="s">
        <v>279</v>
      </c>
      <c r="D270" s="7">
        <v>1.0</v>
      </c>
      <c r="E270" s="8">
        <f t="shared" si="48"/>
        <v>46206</v>
      </c>
      <c r="F270" s="58">
        <f t="shared" si="1"/>
        <v>46207</v>
      </c>
      <c r="G270" s="70">
        <f t="shared" si="53"/>
        <v>268</v>
      </c>
      <c r="H270" s="7" t="s">
        <v>1373</v>
      </c>
    </row>
    <row r="271" ht="22.5" customHeight="1">
      <c r="A271" s="339"/>
      <c r="B271" s="5">
        <f t="shared" si="2"/>
        <v>270</v>
      </c>
      <c r="C271" s="67" t="s">
        <v>280</v>
      </c>
      <c r="D271" s="7">
        <v>2.0</v>
      </c>
      <c r="E271" s="8">
        <f t="shared" si="48"/>
        <v>46207</v>
      </c>
      <c r="F271" s="58">
        <f t="shared" si="1"/>
        <v>46209</v>
      </c>
      <c r="G271" s="70">
        <f t="shared" si="53"/>
        <v>269</v>
      </c>
      <c r="H271" s="7" t="s">
        <v>1373</v>
      </c>
    </row>
    <row r="272" ht="22.5" customHeight="1">
      <c r="A272" s="340"/>
      <c r="B272" s="5">
        <f t="shared" si="2"/>
        <v>271</v>
      </c>
      <c r="C272" s="67" t="s">
        <v>1402</v>
      </c>
      <c r="D272" s="7">
        <v>4.0</v>
      </c>
      <c r="E272" s="8">
        <f t="shared" si="48"/>
        <v>46209</v>
      </c>
      <c r="F272" s="58">
        <f t="shared" si="1"/>
        <v>46213</v>
      </c>
      <c r="G272" s="70">
        <f t="shared" si="53"/>
        <v>270</v>
      </c>
      <c r="H272" s="7" t="s">
        <v>1373</v>
      </c>
    </row>
    <row r="273" ht="22.5" customHeight="1">
      <c r="A273" s="124" t="s">
        <v>81</v>
      </c>
      <c r="B273" s="43">
        <f t="shared" si="2"/>
        <v>272</v>
      </c>
      <c r="C273" s="125" t="s">
        <v>282</v>
      </c>
      <c r="D273" s="17">
        <v>1.0</v>
      </c>
      <c r="E273" s="8">
        <f t="shared" si="48"/>
        <v>46213</v>
      </c>
      <c r="F273" s="58">
        <f t="shared" si="1"/>
        <v>46214</v>
      </c>
      <c r="G273" s="70">
        <f t="shared" si="53"/>
        <v>271</v>
      </c>
      <c r="H273" s="7" t="s">
        <v>1373</v>
      </c>
    </row>
    <row r="274" ht="22.5" customHeight="1">
      <c r="A274" s="341"/>
      <c r="B274" s="43">
        <f t="shared" si="2"/>
        <v>273</v>
      </c>
      <c r="C274" s="125" t="s">
        <v>283</v>
      </c>
      <c r="D274" s="17">
        <v>1.0</v>
      </c>
      <c r="E274" s="8">
        <f t="shared" si="48"/>
        <v>46214</v>
      </c>
      <c r="F274" s="58">
        <f t="shared" si="1"/>
        <v>46215</v>
      </c>
      <c r="G274" s="70">
        <f t="shared" si="53"/>
        <v>272</v>
      </c>
      <c r="H274" s="7" t="s">
        <v>1373</v>
      </c>
    </row>
    <row r="275" ht="22.5" customHeight="1">
      <c r="A275" s="341"/>
      <c r="B275" s="43">
        <f t="shared" si="2"/>
        <v>274</v>
      </c>
      <c r="C275" s="125" t="s">
        <v>284</v>
      </c>
      <c r="D275" s="17">
        <v>1.0</v>
      </c>
      <c r="E275" s="8">
        <f t="shared" si="48"/>
        <v>46215</v>
      </c>
      <c r="F275" s="58">
        <f t="shared" si="1"/>
        <v>46216</v>
      </c>
      <c r="G275" s="70">
        <f t="shared" si="53"/>
        <v>273</v>
      </c>
      <c r="H275" s="7" t="s">
        <v>1373</v>
      </c>
    </row>
    <row r="276" ht="22.5" customHeight="1">
      <c r="A276" s="341"/>
      <c r="B276" s="43">
        <f t="shared" si="2"/>
        <v>275</v>
      </c>
      <c r="C276" s="125" t="s">
        <v>285</v>
      </c>
      <c r="D276" s="17">
        <v>1.0</v>
      </c>
      <c r="E276" s="8">
        <f t="shared" si="48"/>
        <v>46216</v>
      </c>
      <c r="F276" s="58">
        <f t="shared" si="1"/>
        <v>46217</v>
      </c>
      <c r="G276" s="70">
        <f t="shared" si="53"/>
        <v>274</v>
      </c>
      <c r="H276" s="7" t="s">
        <v>1373</v>
      </c>
    </row>
    <row r="277" ht="22.5" customHeight="1">
      <c r="A277" s="341"/>
      <c r="B277" s="43">
        <f t="shared" si="2"/>
        <v>276</v>
      </c>
      <c r="C277" s="125" t="s">
        <v>286</v>
      </c>
      <c r="D277" s="7">
        <v>1.0</v>
      </c>
      <c r="E277" s="8">
        <f t="shared" si="48"/>
        <v>46217</v>
      </c>
      <c r="F277" s="58">
        <f t="shared" si="1"/>
        <v>46218</v>
      </c>
      <c r="G277" s="70">
        <f t="shared" si="53"/>
        <v>275</v>
      </c>
      <c r="H277" s="7" t="s">
        <v>1373</v>
      </c>
    </row>
    <row r="278" ht="22.5" customHeight="1">
      <c r="A278" s="164"/>
      <c r="B278" s="5">
        <f t="shared" si="2"/>
        <v>277</v>
      </c>
      <c r="C278" s="165" t="s">
        <v>287</v>
      </c>
      <c r="D278" s="7">
        <v>1.0</v>
      </c>
      <c r="E278" s="8">
        <f t="shared" si="48"/>
        <v>46218</v>
      </c>
      <c r="F278" s="8">
        <f t="shared" si="1"/>
        <v>46219</v>
      </c>
      <c r="G278" s="70">
        <f t="shared" si="53"/>
        <v>276</v>
      </c>
      <c r="H278" s="7" t="s">
        <v>1374</v>
      </c>
    </row>
    <row r="279" ht="22.5" customHeight="1">
      <c r="A279" s="164"/>
      <c r="B279" s="5">
        <f t="shared" si="2"/>
        <v>278</v>
      </c>
      <c r="C279" s="165" t="s">
        <v>288</v>
      </c>
      <c r="D279" s="7">
        <v>2.0</v>
      </c>
      <c r="E279" s="8">
        <f t="shared" si="48"/>
        <v>46219</v>
      </c>
      <c r="F279" s="8">
        <f t="shared" si="1"/>
        <v>46221</v>
      </c>
      <c r="G279" s="70">
        <f t="shared" si="53"/>
        <v>277</v>
      </c>
      <c r="H279" s="7" t="s">
        <v>1386</v>
      </c>
    </row>
    <row r="280" ht="22.5" customHeight="1">
      <c r="A280" s="164"/>
      <c r="B280" s="5">
        <f t="shared" si="2"/>
        <v>279</v>
      </c>
      <c r="C280" s="165" t="s">
        <v>289</v>
      </c>
      <c r="D280" s="7">
        <v>2.0</v>
      </c>
      <c r="E280" s="8">
        <f t="shared" si="48"/>
        <v>46221</v>
      </c>
      <c r="F280" s="8">
        <f t="shared" si="1"/>
        <v>46223</v>
      </c>
      <c r="G280" s="70">
        <f t="shared" si="53"/>
        <v>278</v>
      </c>
      <c r="H280" s="7" t="s">
        <v>1387</v>
      </c>
    </row>
    <row r="281" ht="22.5" customHeight="1">
      <c r="A281" s="164"/>
      <c r="B281" s="5">
        <f t="shared" si="2"/>
        <v>280</v>
      </c>
      <c r="C281" s="165" t="s">
        <v>290</v>
      </c>
      <c r="D281" s="7">
        <v>2.0</v>
      </c>
      <c r="E281" s="8">
        <f t="shared" si="48"/>
        <v>46223</v>
      </c>
      <c r="F281" s="8">
        <f t="shared" si="1"/>
        <v>46225</v>
      </c>
      <c r="G281" s="70">
        <f t="shared" si="53"/>
        <v>279</v>
      </c>
      <c r="H281" s="7" t="s">
        <v>1388</v>
      </c>
    </row>
    <row r="282" ht="22.5" customHeight="1">
      <c r="A282" s="164"/>
      <c r="B282" s="5">
        <f t="shared" si="2"/>
        <v>281</v>
      </c>
      <c r="C282" s="125" t="s">
        <v>291</v>
      </c>
      <c r="D282" s="7">
        <v>1.0</v>
      </c>
      <c r="E282" s="8">
        <f t="shared" si="48"/>
        <v>46225</v>
      </c>
      <c r="F282" s="8">
        <f t="shared" si="1"/>
        <v>46226</v>
      </c>
      <c r="G282" s="70">
        <f t="shared" si="53"/>
        <v>280</v>
      </c>
      <c r="H282" s="7" t="s">
        <v>1373</v>
      </c>
    </row>
    <row r="283" ht="22.5" customHeight="1">
      <c r="A283" s="164"/>
      <c r="B283" s="5">
        <f t="shared" si="2"/>
        <v>282</v>
      </c>
      <c r="C283" s="125" t="s">
        <v>292</v>
      </c>
      <c r="D283" s="7">
        <v>2.0</v>
      </c>
      <c r="E283" s="8">
        <f t="shared" si="48"/>
        <v>46226</v>
      </c>
      <c r="F283" s="8">
        <f t="shared" si="1"/>
        <v>46228</v>
      </c>
      <c r="G283" s="70">
        <f t="shared" si="53"/>
        <v>281</v>
      </c>
      <c r="H283" s="7" t="s">
        <v>1373</v>
      </c>
    </row>
    <row r="284" ht="22.5" customHeight="1">
      <c r="A284" s="164"/>
      <c r="B284" s="5">
        <f t="shared" si="2"/>
        <v>283</v>
      </c>
      <c r="C284" s="125" t="s">
        <v>293</v>
      </c>
      <c r="D284" s="7">
        <v>4.0</v>
      </c>
      <c r="E284" s="8">
        <f t="shared" si="48"/>
        <v>46228</v>
      </c>
      <c r="F284" s="8">
        <f t="shared" si="1"/>
        <v>46232</v>
      </c>
      <c r="G284" s="70">
        <f t="shared" si="53"/>
        <v>282</v>
      </c>
      <c r="H284" s="7" t="s">
        <v>1392</v>
      </c>
    </row>
    <row r="285" ht="22.5" customHeight="1">
      <c r="A285" s="164"/>
      <c r="B285" s="5">
        <f t="shared" si="2"/>
        <v>284</v>
      </c>
      <c r="C285" s="125" t="s">
        <v>294</v>
      </c>
      <c r="D285" s="7">
        <v>2.0</v>
      </c>
      <c r="E285" s="8">
        <f t="shared" si="48"/>
        <v>46232</v>
      </c>
      <c r="F285" s="8">
        <f t="shared" si="1"/>
        <v>46234</v>
      </c>
      <c r="G285" s="70">
        <f t="shared" si="53"/>
        <v>283</v>
      </c>
      <c r="H285" s="7" t="s">
        <v>1388</v>
      </c>
    </row>
    <row r="286" ht="22.5" customHeight="1">
      <c r="A286" s="164"/>
      <c r="B286" s="5">
        <f t="shared" si="2"/>
        <v>285</v>
      </c>
      <c r="C286" s="125" t="s">
        <v>295</v>
      </c>
      <c r="D286" s="7">
        <v>1.0</v>
      </c>
      <c r="E286" s="8">
        <f t="shared" si="48"/>
        <v>46234</v>
      </c>
      <c r="F286" s="8">
        <f t="shared" si="1"/>
        <v>46235</v>
      </c>
      <c r="G286" s="70">
        <f t="shared" si="53"/>
        <v>284</v>
      </c>
      <c r="H286" s="7" t="s">
        <v>1373</v>
      </c>
    </row>
    <row r="287" ht="22.5" customHeight="1">
      <c r="A287" s="164"/>
      <c r="B287" s="5">
        <f t="shared" si="2"/>
        <v>286</v>
      </c>
      <c r="C287" s="125" t="s">
        <v>296</v>
      </c>
      <c r="D287" s="7">
        <v>2.0</v>
      </c>
      <c r="E287" s="8">
        <f t="shared" si="48"/>
        <v>46235</v>
      </c>
      <c r="F287" s="8">
        <f t="shared" si="1"/>
        <v>46237</v>
      </c>
      <c r="G287" s="70">
        <f t="shared" si="53"/>
        <v>285</v>
      </c>
      <c r="H287" s="7" t="s">
        <v>1373</v>
      </c>
    </row>
    <row r="288" ht="22.5" customHeight="1">
      <c r="A288" s="164"/>
      <c r="B288" s="5">
        <f t="shared" si="2"/>
        <v>287</v>
      </c>
      <c r="C288" s="125" t="s">
        <v>297</v>
      </c>
      <c r="D288" s="7">
        <v>4.0</v>
      </c>
      <c r="E288" s="8">
        <f t="shared" si="48"/>
        <v>46237</v>
      </c>
      <c r="F288" s="8">
        <f t="shared" si="1"/>
        <v>46241</v>
      </c>
      <c r="G288" s="70">
        <f t="shared" si="53"/>
        <v>286</v>
      </c>
      <c r="H288" s="7" t="s">
        <v>1392</v>
      </c>
    </row>
    <row r="289" ht="22.5" customHeight="1">
      <c r="A289" s="166"/>
      <c r="B289" s="5">
        <f t="shared" si="2"/>
        <v>288</v>
      </c>
      <c r="C289" s="125" t="s">
        <v>298</v>
      </c>
      <c r="D289" s="7">
        <v>2.0</v>
      </c>
      <c r="E289" s="8">
        <f t="shared" si="48"/>
        <v>46241</v>
      </c>
      <c r="F289" s="8">
        <f t="shared" si="1"/>
        <v>46243</v>
      </c>
      <c r="G289" s="70">
        <f t="shared" si="53"/>
        <v>287</v>
      </c>
      <c r="H289" s="7" t="s">
        <v>1388</v>
      </c>
    </row>
    <row r="290" ht="22.5" customHeight="1">
      <c r="A290" s="36" t="s">
        <v>55</v>
      </c>
      <c r="B290" s="5">
        <f t="shared" si="2"/>
        <v>289</v>
      </c>
      <c r="C290" s="39" t="s">
        <v>299</v>
      </c>
      <c r="D290" s="7">
        <v>2.0</v>
      </c>
      <c r="E290" s="8">
        <f t="shared" si="48"/>
        <v>46243</v>
      </c>
      <c r="F290" s="8">
        <f t="shared" si="1"/>
        <v>46245</v>
      </c>
      <c r="G290" s="70">
        <f>B284</f>
        <v>283</v>
      </c>
      <c r="H290" s="7" t="s">
        <v>1389</v>
      </c>
    </row>
    <row r="291" ht="22.5" customHeight="1">
      <c r="A291" s="38"/>
      <c r="B291" s="5">
        <f t="shared" si="2"/>
        <v>290</v>
      </c>
      <c r="C291" s="39" t="s">
        <v>300</v>
      </c>
      <c r="D291" s="7">
        <v>4.0</v>
      </c>
      <c r="E291" s="8">
        <f t="shared" si="48"/>
        <v>46245</v>
      </c>
      <c r="F291" s="8">
        <f t="shared" si="1"/>
        <v>46249</v>
      </c>
      <c r="G291" s="70">
        <f t="shared" ref="G291:G293" si="54">B290</f>
        <v>289</v>
      </c>
      <c r="H291" s="7" t="s">
        <v>1389</v>
      </c>
    </row>
    <row r="292" ht="22.5" customHeight="1">
      <c r="A292" s="38"/>
      <c r="B292" s="5">
        <f t="shared" si="2"/>
        <v>291</v>
      </c>
      <c r="C292" s="39" t="s">
        <v>301</v>
      </c>
      <c r="D292" s="7">
        <v>1.0</v>
      </c>
      <c r="E292" s="8">
        <f t="shared" si="48"/>
        <v>46249</v>
      </c>
      <c r="F292" s="8">
        <f t="shared" si="1"/>
        <v>46250</v>
      </c>
      <c r="G292" s="70">
        <f t="shared" si="54"/>
        <v>290</v>
      </c>
      <c r="H292" s="7" t="s">
        <v>1379</v>
      </c>
    </row>
    <row r="293" ht="22.5" customHeight="1">
      <c r="A293" s="40"/>
      <c r="B293" s="5">
        <f t="shared" si="2"/>
        <v>292</v>
      </c>
      <c r="C293" s="39" t="s">
        <v>302</v>
      </c>
      <c r="D293" s="7">
        <v>2.0</v>
      </c>
      <c r="E293" s="8">
        <f t="shared" si="48"/>
        <v>46250</v>
      </c>
      <c r="F293" s="8">
        <f t="shared" si="1"/>
        <v>46252</v>
      </c>
      <c r="G293" s="70">
        <f t="shared" si="54"/>
        <v>291</v>
      </c>
      <c r="H293" s="7" t="s">
        <v>1389</v>
      </c>
    </row>
    <row r="294" ht="22.5" customHeight="1">
      <c r="A294" s="32" t="s">
        <v>103</v>
      </c>
      <c r="B294" s="5">
        <f t="shared" si="2"/>
        <v>293</v>
      </c>
      <c r="C294" s="100" t="s">
        <v>303</v>
      </c>
      <c r="D294" s="7">
        <v>2.0</v>
      </c>
      <c r="E294" s="8">
        <f t="shared" si="48"/>
        <v>46252</v>
      </c>
      <c r="F294" s="8">
        <f t="shared" si="1"/>
        <v>46254</v>
      </c>
      <c r="G294" s="9">
        <f>B284</f>
        <v>283</v>
      </c>
      <c r="H294" s="7" t="s">
        <v>1389</v>
      </c>
    </row>
    <row r="295" ht="22.5" customHeight="1">
      <c r="A295" s="34"/>
      <c r="B295" s="5">
        <f t="shared" si="2"/>
        <v>294</v>
      </c>
      <c r="C295" s="100" t="s">
        <v>304</v>
      </c>
      <c r="D295" s="7">
        <v>4.0</v>
      </c>
      <c r="E295" s="8">
        <f t="shared" si="48"/>
        <v>46254</v>
      </c>
      <c r="F295" s="8">
        <f t="shared" si="1"/>
        <v>46258</v>
      </c>
      <c r="G295" s="9">
        <f t="shared" ref="G295:G297" si="55">B294</f>
        <v>293</v>
      </c>
      <c r="H295" s="7" t="s">
        <v>1389</v>
      </c>
    </row>
    <row r="296" ht="22.5" customHeight="1">
      <c r="A296" s="34"/>
      <c r="B296" s="5">
        <f t="shared" si="2"/>
        <v>295</v>
      </c>
      <c r="C296" s="100" t="s">
        <v>305</v>
      </c>
      <c r="D296" s="7">
        <v>1.0</v>
      </c>
      <c r="E296" s="8">
        <f t="shared" si="48"/>
        <v>46258</v>
      </c>
      <c r="F296" s="8">
        <f t="shared" si="1"/>
        <v>46259</v>
      </c>
      <c r="G296" s="9">
        <f t="shared" si="55"/>
        <v>294</v>
      </c>
      <c r="H296" s="7" t="s">
        <v>1379</v>
      </c>
    </row>
    <row r="297" ht="22.5" customHeight="1">
      <c r="A297" s="167"/>
      <c r="B297" s="5">
        <f t="shared" si="2"/>
        <v>296</v>
      </c>
      <c r="C297" s="100" t="s">
        <v>306</v>
      </c>
      <c r="D297" s="7">
        <v>2.0</v>
      </c>
      <c r="E297" s="8">
        <f t="shared" si="48"/>
        <v>46259</v>
      </c>
      <c r="F297" s="8">
        <f t="shared" si="1"/>
        <v>46261</v>
      </c>
      <c r="G297" s="9">
        <f t="shared" si="55"/>
        <v>295</v>
      </c>
      <c r="H297" s="7" t="s">
        <v>1389</v>
      </c>
    </row>
    <row r="298" ht="22.5" customHeight="1">
      <c r="A298" s="92" t="s">
        <v>307</v>
      </c>
      <c r="B298" s="5">
        <f t="shared" si="2"/>
        <v>297</v>
      </c>
      <c r="C298" s="29" t="s">
        <v>308</v>
      </c>
      <c r="D298" s="7">
        <v>2.0</v>
      </c>
      <c r="E298" s="8">
        <f t="shared" si="48"/>
        <v>46261</v>
      </c>
      <c r="F298" s="8">
        <f t="shared" si="1"/>
        <v>46263</v>
      </c>
      <c r="G298" s="9">
        <f>B284</f>
        <v>283</v>
      </c>
      <c r="H298" s="7" t="s">
        <v>1389</v>
      </c>
    </row>
    <row r="299" ht="22.5" customHeight="1">
      <c r="A299" s="168"/>
      <c r="B299" s="5">
        <f t="shared" si="2"/>
        <v>298</v>
      </c>
      <c r="C299" s="29" t="s">
        <v>309</v>
      </c>
      <c r="D299" s="7">
        <v>4.0</v>
      </c>
      <c r="E299" s="8">
        <f t="shared" si="48"/>
        <v>46263</v>
      </c>
      <c r="F299" s="8">
        <f t="shared" si="1"/>
        <v>46267</v>
      </c>
      <c r="G299" s="9">
        <f t="shared" ref="G299:G301" si="56">B298</f>
        <v>297</v>
      </c>
      <c r="H299" s="7" t="s">
        <v>1389</v>
      </c>
    </row>
    <row r="300" ht="22.5" customHeight="1">
      <c r="A300" s="168"/>
      <c r="B300" s="5">
        <f t="shared" si="2"/>
        <v>299</v>
      </c>
      <c r="C300" s="29" t="s">
        <v>310</v>
      </c>
      <c r="D300" s="7">
        <v>1.0</v>
      </c>
      <c r="E300" s="8">
        <f t="shared" si="48"/>
        <v>46267</v>
      </c>
      <c r="F300" s="8">
        <f t="shared" si="1"/>
        <v>46268</v>
      </c>
      <c r="G300" s="9">
        <f t="shared" si="56"/>
        <v>298</v>
      </c>
      <c r="H300" s="7" t="s">
        <v>1379</v>
      </c>
    </row>
    <row r="301" ht="22.5" customHeight="1">
      <c r="A301" s="169"/>
      <c r="B301" s="5">
        <f t="shared" si="2"/>
        <v>300</v>
      </c>
      <c r="C301" s="29" t="s">
        <v>311</v>
      </c>
      <c r="D301" s="7">
        <v>2.0</v>
      </c>
      <c r="E301" s="8">
        <f t="shared" si="48"/>
        <v>46268</v>
      </c>
      <c r="F301" s="8">
        <f t="shared" si="1"/>
        <v>46270</v>
      </c>
      <c r="G301" s="9">
        <f t="shared" si="56"/>
        <v>299</v>
      </c>
      <c r="H301" s="7" t="s">
        <v>1389</v>
      </c>
    </row>
    <row r="302" ht="22.5" customHeight="1">
      <c r="A302" s="75" t="s">
        <v>312</v>
      </c>
      <c r="B302" s="5">
        <f t="shared" si="2"/>
        <v>301</v>
      </c>
      <c r="C302" s="78" t="s">
        <v>313</v>
      </c>
      <c r="D302" s="7">
        <v>2.0</v>
      </c>
      <c r="E302" s="8">
        <f t="shared" si="48"/>
        <v>46270</v>
      </c>
      <c r="F302" s="8">
        <f t="shared" si="1"/>
        <v>46272</v>
      </c>
      <c r="G302" s="9">
        <f>B281</f>
        <v>280</v>
      </c>
      <c r="H302" s="7" t="s">
        <v>1389</v>
      </c>
    </row>
    <row r="303" ht="22.5" customHeight="1">
      <c r="A303" s="77"/>
      <c r="B303" s="5">
        <f t="shared" si="2"/>
        <v>302</v>
      </c>
      <c r="C303" s="78" t="s">
        <v>314</v>
      </c>
      <c r="D303" s="7">
        <v>4.0</v>
      </c>
      <c r="E303" s="8">
        <f t="shared" si="48"/>
        <v>46272</v>
      </c>
      <c r="F303" s="8">
        <f t="shared" si="1"/>
        <v>46276</v>
      </c>
      <c r="G303" s="9">
        <f t="shared" ref="G303:G305" si="57">B302</f>
        <v>301</v>
      </c>
      <c r="H303" s="7" t="s">
        <v>1389</v>
      </c>
    </row>
    <row r="304" ht="22.5" customHeight="1">
      <c r="A304" s="77"/>
      <c r="B304" s="5">
        <f t="shared" si="2"/>
        <v>303</v>
      </c>
      <c r="C304" s="78" t="s">
        <v>315</v>
      </c>
      <c r="D304" s="7">
        <v>1.0</v>
      </c>
      <c r="E304" s="8">
        <f t="shared" si="48"/>
        <v>46276</v>
      </c>
      <c r="F304" s="8">
        <f t="shared" si="1"/>
        <v>46277</v>
      </c>
      <c r="G304" s="9">
        <f t="shared" si="57"/>
        <v>302</v>
      </c>
      <c r="H304" s="7" t="s">
        <v>1379</v>
      </c>
    </row>
    <row r="305" ht="22.5" customHeight="1">
      <c r="A305" s="79"/>
      <c r="B305" s="5">
        <f t="shared" si="2"/>
        <v>304</v>
      </c>
      <c r="C305" s="78" t="s">
        <v>316</v>
      </c>
      <c r="D305" s="7">
        <v>2.0</v>
      </c>
      <c r="E305" s="8">
        <f t="shared" si="48"/>
        <v>46277</v>
      </c>
      <c r="F305" s="8">
        <f t="shared" si="1"/>
        <v>46279</v>
      </c>
      <c r="G305" s="9">
        <f t="shared" si="57"/>
        <v>303</v>
      </c>
      <c r="H305" s="7" t="s">
        <v>1389</v>
      </c>
    </row>
    <row r="306" ht="22.5" customHeight="1">
      <c r="A306" s="112" t="s">
        <v>178</v>
      </c>
      <c r="B306" s="108">
        <f t="shared" si="2"/>
        <v>305</v>
      </c>
      <c r="C306" s="113" t="s">
        <v>317</v>
      </c>
      <c r="D306" s="101">
        <v>1.0</v>
      </c>
      <c r="E306" s="8">
        <f t="shared" si="48"/>
        <v>46279</v>
      </c>
      <c r="F306" s="22">
        <f t="shared" si="1"/>
        <v>46280</v>
      </c>
      <c r="G306" s="142">
        <f>B284</f>
        <v>283</v>
      </c>
      <c r="H306" s="23" t="s">
        <v>1373</v>
      </c>
    </row>
    <row r="307" ht="22.5" customHeight="1">
      <c r="A307" s="359"/>
      <c r="B307" s="108">
        <f t="shared" si="2"/>
        <v>306</v>
      </c>
      <c r="C307" s="113" t="s">
        <v>318</v>
      </c>
      <c r="D307" s="106">
        <v>2.0</v>
      </c>
      <c r="E307" s="8">
        <f t="shared" si="48"/>
        <v>46280</v>
      </c>
      <c r="F307" s="24">
        <f t="shared" si="1"/>
        <v>46282</v>
      </c>
      <c r="G307" s="108">
        <f t="shared" ref="G307:G310" si="58">B306</f>
        <v>305</v>
      </c>
      <c r="H307" s="21" t="s">
        <v>1373</v>
      </c>
    </row>
    <row r="308" ht="22.5" customHeight="1">
      <c r="A308" s="359"/>
      <c r="B308" s="108">
        <f t="shared" si="2"/>
        <v>307</v>
      </c>
      <c r="C308" s="113" t="s">
        <v>319</v>
      </c>
      <c r="D308" s="106">
        <v>2.0</v>
      </c>
      <c r="E308" s="8">
        <f t="shared" si="48"/>
        <v>46282</v>
      </c>
      <c r="F308" s="22">
        <f t="shared" si="1"/>
        <v>46284</v>
      </c>
      <c r="G308" s="108">
        <f t="shared" si="58"/>
        <v>306</v>
      </c>
      <c r="H308" s="23" t="s">
        <v>1373</v>
      </c>
    </row>
    <row r="309" ht="22.5" customHeight="1">
      <c r="A309" s="359"/>
      <c r="B309" s="108">
        <f t="shared" si="2"/>
        <v>308</v>
      </c>
      <c r="C309" s="113" t="s">
        <v>320</v>
      </c>
      <c r="D309" s="101">
        <v>4.0</v>
      </c>
      <c r="E309" s="8">
        <f t="shared" si="48"/>
        <v>46284</v>
      </c>
      <c r="F309" s="24">
        <f t="shared" si="1"/>
        <v>46288</v>
      </c>
      <c r="G309" s="108">
        <f t="shared" si="58"/>
        <v>307</v>
      </c>
      <c r="H309" s="21" t="s">
        <v>1373</v>
      </c>
    </row>
    <row r="310" ht="22.5" customHeight="1">
      <c r="A310" s="362"/>
      <c r="B310" s="104">
        <f t="shared" si="2"/>
        <v>309</v>
      </c>
      <c r="C310" s="113" t="s">
        <v>321</v>
      </c>
      <c r="D310" s="108">
        <v>2.0</v>
      </c>
      <c r="E310" s="8">
        <f t="shared" si="48"/>
        <v>46288</v>
      </c>
      <c r="F310" s="22">
        <f t="shared" si="1"/>
        <v>46290</v>
      </c>
      <c r="G310" s="108">
        <f t="shared" si="58"/>
        <v>308</v>
      </c>
      <c r="H310" s="23" t="s">
        <v>1373</v>
      </c>
    </row>
    <row r="311" ht="22.5" customHeight="1">
      <c r="A311" s="92" t="s">
        <v>322</v>
      </c>
      <c r="B311" s="43">
        <f t="shared" si="2"/>
        <v>310</v>
      </c>
      <c r="C311" s="29" t="s">
        <v>323</v>
      </c>
      <c r="D311" s="7">
        <v>1.0</v>
      </c>
      <c r="E311" s="8">
        <f t="shared" si="48"/>
        <v>46290</v>
      </c>
      <c r="F311" s="8">
        <f t="shared" si="1"/>
        <v>46291</v>
      </c>
      <c r="G311" s="142">
        <f>B284</f>
        <v>283</v>
      </c>
      <c r="H311" s="7" t="s">
        <v>1373</v>
      </c>
    </row>
    <row r="312" ht="22.5" customHeight="1">
      <c r="A312" s="346"/>
      <c r="B312" s="43">
        <f t="shared" si="2"/>
        <v>311</v>
      </c>
      <c r="C312" s="29" t="s">
        <v>324</v>
      </c>
      <c r="D312" s="7">
        <v>2.0</v>
      </c>
      <c r="E312" s="8">
        <f t="shared" si="48"/>
        <v>46291</v>
      </c>
      <c r="F312" s="8">
        <f t="shared" si="1"/>
        <v>46293</v>
      </c>
      <c r="G312" s="9">
        <f t="shared" ref="G312:G318" si="59">B311</f>
        <v>310</v>
      </c>
      <c r="H312" s="7" t="s">
        <v>1373</v>
      </c>
    </row>
    <row r="313" ht="22.5" customHeight="1">
      <c r="A313" s="346"/>
      <c r="B313" s="43">
        <f t="shared" si="2"/>
        <v>312</v>
      </c>
      <c r="C313" s="29" t="s">
        <v>325</v>
      </c>
      <c r="D313" s="7">
        <v>4.0</v>
      </c>
      <c r="E313" s="8">
        <f t="shared" si="48"/>
        <v>46293</v>
      </c>
      <c r="F313" s="8">
        <f t="shared" si="1"/>
        <v>46297</v>
      </c>
      <c r="G313" s="9">
        <f t="shared" si="59"/>
        <v>311</v>
      </c>
      <c r="H313" s="7" t="s">
        <v>1392</v>
      </c>
    </row>
    <row r="314" ht="22.5" customHeight="1">
      <c r="A314" s="363"/>
      <c r="B314" s="5">
        <f t="shared" si="2"/>
        <v>313</v>
      </c>
      <c r="C314" s="29" t="s">
        <v>326</v>
      </c>
      <c r="D314" s="7">
        <v>2.0</v>
      </c>
      <c r="E314" s="8">
        <f t="shared" si="48"/>
        <v>46297</v>
      </c>
      <c r="F314" s="8">
        <f t="shared" si="1"/>
        <v>46299</v>
      </c>
      <c r="G314" s="9">
        <f t="shared" si="59"/>
        <v>312</v>
      </c>
      <c r="H314" s="7" t="s">
        <v>1388</v>
      </c>
    </row>
    <row r="315" ht="22.5" customHeight="1">
      <c r="A315" s="364"/>
      <c r="B315" s="43">
        <f t="shared" si="2"/>
        <v>314</v>
      </c>
      <c r="C315" s="29" t="s">
        <v>327</v>
      </c>
      <c r="D315" s="7">
        <v>1.0</v>
      </c>
      <c r="E315" s="8">
        <f t="shared" si="48"/>
        <v>46299</v>
      </c>
      <c r="F315" s="8">
        <f t="shared" si="1"/>
        <v>46300</v>
      </c>
      <c r="G315" s="9">
        <f t="shared" si="59"/>
        <v>313</v>
      </c>
      <c r="H315" s="7" t="s">
        <v>1373</v>
      </c>
    </row>
    <row r="316" ht="22.5" customHeight="1">
      <c r="A316" s="364"/>
      <c r="B316" s="43">
        <f t="shared" si="2"/>
        <v>315</v>
      </c>
      <c r="C316" s="29" t="s">
        <v>328</v>
      </c>
      <c r="D316" s="7">
        <v>2.0</v>
      </c>
      <c r="E316" s="8">
        <f t="shared" si="48"/>
        <v>46300</v>
      </c>
      <c r="F316" s="8">
        <f t="shared" si="1"/>
        <v>46302</v>
      </c>
      <c r="G316" s="9">
        <f t="shared" si="59"/>
        <v>314</v>
      </c>
      <c r="H316" s="7" t="s">
        <v>1373</v>
      </c>
    </row>
    <row r="317" ht="22.5" customHeight="1">
      <c r="A317" s="364"/>
      <c r="B317" s="43">
        <f t="shared" si="2"/>
        <v>316</v>
      </c>
      <c r="C317" s="29" t="s">
        <v>329</v>
      </c>
      <c r="D317" s="7">
        <v>4.0</v>
      </c>
      <c r="E317" s="8">
        <f t="shared" si="48"/>
        <v>46302</v>
      </c>
      <c r="F317" s="8">
        <f t="shared" si="1"/>
        <v>46306</v>
      </c>
      <c r="G317" s="9">
        <f t="shared" si="59"/>
        <v>315</v>
      </c>
      <c r="H317" s="7" t="s">
        <v>1392</v>
      </c>
    </row>
    <row r="318" ht="22.5" customHeight="1">
      <c r="A318" s="364"/>
      <c r="B318" s="43">
        <f t="shared" si="2"/>
        <v>317</v>
      </c>
      <c r="C318" s="29" t="s">
        <v>330</v>
      </c>
      <c r="D318" s="7">
        <v>2.0</v>
      </c>
      <c r="E318" s="8">
        <f t="shared" si="48"/>
        <v>46306</v>
      </c>
      <c r="F318" s="8">
        <f t="shared" si="1"/>
        <v>46308</v>
      </c>
      <c r="G318" s="9">
        <f t="shared" si="59"/>
        <v>316</v>
      </c>
      <c r="H318" s="7" t="s">
        <v>1388</v>
      </c>
    </row>
    <row r="319" ht="22.5" customHeight="1">
      <c r="A319" s="365"/>
      <c r="B319" s="5">
        <f t="shared" si="2"/>
        <v>318</v>
      </c>
      <c r="C319" s="29" t="s">
        <v>1403</v>
      </c>
      <c r="D319" s="7">
        <v>1.0</v>
      </c>
      <c r="E319" s="8">
        <f t="shared" si="48"/>
        <v>46308</v>
      </c>
      <c r="F319" s="8">
        <f t="shared" si="1"/>
        <v>46309</v>
      </c>
      <c r="G319" s="9">
        <f>B284</f>
        <v>283</v>
      </c>
      <c r="H319" s="7" t="s">
        <v>1373</v>
      </c>
    </row>
    <row r="320" ht="22.5" customHeight="1">
      <c r="A320" s="366" t="s">
        <v>332</v>
      </c>
      <c r="B320" s="43">
        <f t="shared" si="2"/>
        <v>319</v>
      </c>
      <c r="C320" s="29" t="s">
        <v>333</v>
      </c>
      <c r="D320" s="7">
        <v>1.0</v>
      </c>
      <c r="E320" s="8">
        <f t="shared" si="48"/>
        <v>46309</v>
      </c>
      <c r="F320" s="8">
        <f t="shared" si="1"/>
        <v>46310</v>
      </c>
      <c r="G320" s="9">
        <f>B284</f>
        <v>283</v>
      </c>
      <c r="H320" s="7" t="s">
        <v>1373</v>
      </c>
    </row>
    <row r="321" ht="22.5" customHeight="1">
      <c r="A321" s="366" t="s">
        <v>334</v>
      </c>
      <c r="B321" s="43">
        <f t="shared" si="2"/>
        <v>320</v>
      </c>
      <c r="C321" s="29" t="s">
        <v>335</v>
      </c>
      <c r="D321" s="7">
        <v>2.0</v>
      </c>
      <c r="E321" s="8">
        <f t="shared" si="48"/>
        <v>46310</v>
      </c>
      <c r="F321" s="8">
        <f t="shared" si="1"/>
        <v>46312</v>
      </c>
      <c r="G321" s="9">
        <f t="shared" ref="G321:G327" si="60">B320</f>
        <v>319</v>
      </c>
      <c r="H321" s="7" t="s">
        <v>1373</v>
      </c>
    </row>
    <row r="322" ht="22.5" customHeight="1">
      <c r="A322" s="367"/>
      <c r="B322" s="43">
        <f t="shared" si="2"/>
        <v>321</v>
      </c>
      <c r="C322" s="29" t="s">
        <v>336</v>
      </c>
      <c r="D322" s="7">
        <v>4.0</v>
      </c>
      <c r="E322" s="8">
        <f t="shared" si="48"/>
        <v>46312</v>
      </c>
      <c r="F322" s="8">
        <f t="shared" si="1"/>
        <v>46316</v>
      </c>
      <c r="G322" s="9">
        <f t="shared" si="60"/>
        <v>320</v>
      </c>
      <c r="H322" s="7" t="s">
        <v>1392</v>
      </c>
    </row>
    <row r="323" ht="22.5" customHeight="1">
      <c r="A323" s="367"/>
      <c r="B323" s="5">
        <f t="shared" si="2"/>
        <v>322</v>
      </c>
      <c r="C323" s="29" t="s">
        <v>337</v>
      </c>
      <c r="D323" s="7">
        <v>2.0</v>
      </c>
      <c r="E323" s="8">
        <f t="shared" si="48"/>
        <v>46316</v>
      </c>
      <c r="F323" s="8">
        <f t="shared" si="1"/>
        <v>46318</v>
      </c>
      <c r="G323" s="9">
        <f t="shared" si="60"/>
        <v>321</v>
      </c>
      <c r="H323" s="7" t="s">
        <v>1388</v>
      </c>
    </row>
    <row r="324" ht="22.5" customHeight="1">
      <c r="A324" s="367"/>
      <c r="B324" s="43">
        <f t="shared" si="2"/>
        <v>323</v>
      </c>
      <c r="C324" s="29" t="s">
        <v>338</v>
      </c>
      <c r="D324" s="7">
        <v>1.0</v>
      </c>
      <c r="E324" s="8">
        <f t="shared" si="48"/>
        <v>46318</v>
      </c>
      <c r="F324" s="8">
        <f t="shared" si="1"/>
        <v>46319</v>
      </c>
      <c r="G324" s="9">
        <f t="shared" si="60"/>
        <v>322</v>
      </c>
      <c r="H324" s="7" t="s">
        <v>1373</v>
      </c>
    </row>
    <row r="325" ht="22.5" customHeight="1">
      <c r="A325" s="367"/>
      <c r="B325" s="43">
        <f t="shared" si="2"/>
        <v>324</v>
      </c>
      <c r="C325" s="29" t="s">
        <v>339</v>
      </c>
      <c r="D325" s="7">
        <v>2.0</v>
      </c>
      <c r="E325" s="8">
        <f t="shared" si="48"/>
        <v>46319</v>
      </c>
      <c r="F325" s="8">
        <f t="shared" si="1"/>
        <v>46321</v>
      </c>
      <c r="G325" s="9">
        <f t="shared" si="60"/>
        <v>323</v>
      </c>
      <c r="H325" s="7" t="s">
        <v>1373</v>
      </c>
    </row>
    <row r="326" ht="22.5" customHeight="1">
      <c r="A326" s="367"/>
      <c r="B326" s="43">
        <f t="shared" si="2"/>
        <v>325</v>
      </c>
      <c r="C326" s="29" t="s">
        <v>340</v>
      </c>
      <c r="D326" s="7">
        <v>4.0</v>
      </c>
      <c r="E326" s="8">
        <f t="shared" si="48"/>
        <v>46321</v>
      </c>
      <c r="F326" s="8">
        <f t="shared" si="1"/>
        <v>46325</v>
      </c>
      <c r="G326" s="9">
        <f t="shared" si="60"/>
        <v>324</v>
      </c>
      <c r="H326" s="7" t="s">
        <v>1392</v>
      </c>
    </row>
    <row r="327" ht="22.5" customHeight="1">
      <c r="A327" s="367"/>
      <c r="B327" s="43">
        <f t="shared" si="2"/>
        <v>326</v>
      </c>
      <c r="C327" s="29" t="s">
        <v>341</v>
      </c>
      <c r="D327" s="7">
        <v>2.0</v>
      </c>
      <c r="E327" s="8">
        <f t="shared" si="48"/>
        <v>46325</v>
      </c>
      <c r="F327" s="8">
        <f t="shared" si="1"/>
        <v>46327</v>
      </c>
      <c r="G327" s="9">
        <f t="shared" si="60"/>
        <v>325</v>
      </c>
      <c r="H327" s="7" t="s">
        <v>1388</v>
      </c>
    </row>
    <row r="328" ht="22.5" customHeight="1">
      <c r="A328" s="365"/>
      <c r="B328" s="5">
        <f t="shared" si="2"/>
        <v>327</v>
      </c>
      <c r="C328" s="29" t="s">
        <v>1404</v>
      </c>
      <c r="D328" s="7">
        <v>1.0</v>
      </c>
      <c r="E328" s="8">
        <f t="shared" si="48"/>
        <v>46327</v>
      </c>
      <c r="F328" s="8">
        <f t="shared" si="1"/>
        <v>46328</v>
      </c>
      <c r="G328" s="9">
        <f>B284</f>
        <v>283</v>
      </c>
      <c r="H328" s="7" t="s">
        <v>1373</v>
      </c>
    </row>
    <row r="329" ht="22.5" customHeight="1">
      <c r="A329" s="366" t="s">
        <v>343</v>
      </c>
      <c r="B329" s="43">
        <f t="shared" si="2"/>
        <v>328</v>
      </c>
      <c r="C329" s="29" t="s">
        <v>348</v>
      </c>
      <c r="D329" s="7">
        <v>1.0</v>
      </c>
      <c r="E329" s="8">
        <f t="shared" si="48"/>
        <v>46328</v>
      </c>
      <c r="F329" s="8">
        <f t="shared" si="1"/>
        <v>46329</v>
      </c>
      <c r="G329" s="9">
        <f>B284</f>
        <v>283</v>
      </c>
      <c r="H329" s="7" t="s">
        <v>1373</v>
      </c>
    </row>
    <row r="330" ht="22.5" customHeight="1">
      <c r="A330" s="367"/>
      <c r="B330" s="43">
        <f t="shared" si="2"/>
        <v>329</v>
      </c>
      <c r="C330" s="29" t="s">
        <v>349</v>
      </c>
      <c r="D330" s="7">
        <v>2.0</v>
      </c>
      <c r="E330" s="8">
        <f t="shared" si="48"/>
        <v>46329</v>
      </c>
      <c r="F330" s="8">
        <f t="shared" si="1"/>
        <v>46331</v>
      </c>
      <c r="G330" s="9">
        <f t="shared" ref="G330:G336" si="61">B329</f>
        <v>328</v>
      </c>
      <c r="H330" s="7" t="s">
        <v>1373</v>
      </c>
    </row>
    <row r="331" ht="22.5" customHeight="1">
      <c r="A331" s="367"/>
      <c r="B331" s="43">
        <f t="shared" si="2"/>
        <v>330</v>
      </c>
      <c r="C331" s="29" t="s">
        <v>350</v>
      </c>
      <c r="D331" s="7">
        <v>4.0</v>
      </c>
      <c r="E331" s="8">
        <f t="shared" si="48"/>
        <v>46331</v>
      </c>
      <c r="F331" s="8">
        <f t="shared" si="1"/>
        <v>46335</v>
      </c>
      <c r="G331" s="9">
        <f t="shared" si="61"/>
        <v>329</v>
      </c>
      <c r="H331" s="7" t="s">
        <v>1392</v>
      </c>
    </row>
    <row r="332" ht="22.5" customHeight="1">
      <c r="A332" s="367"/>
      <c r="B332" s="5">
        <f t="shared" si="2"/>
        <v>331</v>
      </c>
      <c r="C332" s="29" t="s">
        <v>351</v>
      </c>
      <c r="D332" s="7">
        <v>2.0</v>
      </c>
      <c r="E332" s="8">
        <f t="shared" si="48"/>
        <v>46335</v>
      </c>
      <c r="F332" s="8">
        <f t="shared" si="1"/>
        <v>46337</v>
      </c>
      <c r="G332" s="9">
        <f t="shared" si="61"/>
        <v>330</v>
      </c>
      <c r="H332" s="7" t="s">
        <v>1388</v>
      </c>
    </row>
    <row r="333" ht="22.5" customHeight="1">
      <c r="A333" s="367"/>
      <c r="B333" s="43">
        <f t="shared" si="2"/>
        <v>332</v>
      </c>
      <c r="C333" s="29" t="s">
        <v>1405</v>
      </c>
      <c r="D333" s="7">
        <v>1.0</v>
      </c>
      <c r="E333" s="8">
        <f t="shared" si="48"/>
        <v>46337</v>
      </c>
      <c r="F333" s="8">
        <f t="shared" si="1"/>
        <v>46338</v>
      </c>
      <c r="G333" s="9">
        <f t="shared" si="61"/>
        <v>331</v>
      </c>
      <c r="H333" s="7" t="s">
        <v>1373</v>
      </c>
    </row>
    <row r="334" ht="22.5" customHeight="1">
      <c r="A334" s="367"/>
      <c r="B334" s="43">
        <f t="shared" si="2"/>
        <v>333</v>
      </c>
      <c r="C334" s="29" t="s">
        <v>345</v>
      </c>
      <c r="D334" s="7">
        <v>2.0</v>
      </c>
      <c r="E334" s="8">
        <f t="shared" si="48"/>
        <v>46338</v>
      </c>
      <c r="F334" s="8">
        <f t="shared" si="1"/>
        <v>46340</v>
      </c>
      <c r="G334" s="9">
        <f t="shared" si="61"/>
        <v>332</v>
      </c>
      <c r="H334" s="7" t="s">
        <v>1373</v>
      </c>
    </row>
    <row r="335" ht="22.5" customHeight="1">
      <c r="A335" s="367"/>
      <c r="B335" s="43">
        <f t="shared" si="2"/>
        <v>334</v>
      </c>
      <c r="C335" s="29" t="s">
        <v>1406</v>
      </c>
      <c r="D335" s="7">
        <v>4.0</v>
      </c>
      <c r="E335" s="8">
        <f t="shared" si="48"/>
        <v>46340</v>
      </c>
      <c r="F335" s="8">
        <f t="shared" si="1"/>
        <v>46344</v>
      </c>
      <c r="G335" s="9">
        <f t="shared" si="61"/>
        <v>333</v>
      </c>
      <c r="H335" s="7" t="s">
        <v>1392</v>
      </c>
    </row>
    <row r="336" ht="22.5" customHeight="1">
      <c r="A336" s="367"/>
      <c r="B336" s="43">
        <f t="shared" si="2"/>
        <v>335</v>
      </c>
      <c r="C336" s="29" t="s">
        <v>347</v>
      </c>
      <c r="D336" s="7">
        <v>2.0</v>
      </c>
      <c r="E336" s="8">
        <f t="shared" si="48"/>
        <v>46344</v>
      </c>
      <c r="F336" s="8">
        <f t="shared" si="1"/>
        <v>46346</v>
      </c>
      <c r="G336" s="9">
        <f t="shared" si="61"/>
        <v>334</v>
      </c>
      <c r="H336" s="7" t="s">
        <v>1388</v>
      </c>
    </row>
    <row r="337" ht="22.5" customHeight="1">
      <c r="A337" s="368"/>
      <c r="B337" s="5">
        <f t="shared" si="2"/>
        <v>336</v>
      </c>
      <c r="C337" s="29" t="s">
        <v>1407</v>
      </c>
      <c r="D337" s="7">
        <v>1.0</v>
      </c>
      <c r="E337" s="8">
        <f t="shared" si="48"/>
        <v>46346</v>
      </c>
      <c r="F337" s="8">
        <f t="shared" si="1"/>
        <v>46347</v>
      </c>
      <c r="G337" s="9">
        <f>B284</f>
        <v>283</v>
      </c>
      <c r="H337" s="7" t="s">
        <v>1373</v>
      </c>
    </row>
    <row r="338" ht="22.5" customHeight="1">
      <c r="A338" s="366" t="s">
        <v>353</v>
      </c>
      <c r="B338" s="43">
        <f t="shared" si="2"/>
        <v>337</v>
      </c>
      <c r="C338" s="29" t="s">
        <v>354</v>
      </c>
      <c r="D338" s="7">
        <v>1.0</v>
      </c>
      <c r="E338" s="8">
        <f t="shared" si="48"/>
        <v>46347</v>
      </c>
      <c r="F338" s="8">
        <f t="shared" si="1"/>
        <v>46348</v>
      </c>
      <c r="G338" s="9">
        <f>B284</f>
        <v>283</v>
      </c>
      <c r="H338" s="7" t="s">
        <v>1373</v>
      </c>
    </row>
    <row r="339" ht="22.5" customHeight="1">
      <c r="A339" s="367"/>
      <c r="B339" s="43">
        <f t="shared" si="2"/>
        <v>338</v>
      </c>
      <c r="C339" s="29" t="s">
        <v>355</v>
      </c>
      <c r="D339" s="7">
        <v>2.0</v>
      </c>
      <c r="E339" s="8">
        <f t="shared" si="48"/>
        <v>46348</v>
      </c>
      <c r="F339" s="8">
        <f t="shared" si="1"/>
        <v>46350</v>
      </c>
      <c r="G339" s="9">
        <f t="shared" ref="G339:G345" si="62">B338</f>
        <v>337</v>
      </c>
      <c r="H339" s="7" t="s">
        <v>1373</v>
      </c>
    </row>
    <row r="340" ht="22.5" customHeight="1">
      <c r="A340" s="367"/>
      <c r="B340" s="43">
        <f t="shared" si="2"/>
        <v>339</v>
      </c>
      <c r="C340" s="29" t="s">
        <v>356</v>
      </c>
      <c r="D340" s="7">
        <v>4.0</v>
      </c>
      <c r="E340" s="8">
        <f t="shared" si="48"/>
        <v>46350</v>
      </c>
      <c r="F340" s="8">
        <f t="shared" si="1"/>
        <v>46354</v>
      </c>
      <c r="G340" s="9">
        <f t="shared" si="62"/>
        <v>338</v>
      </c>
      <c r="H340" s="7" t="s">
        <v>1392</v>
      </c>
    </row>
    <row r="341" ht="22.5" customHeight="1">
      <c r="A341" s="367"/>
      <c r="B341" s="5">
        <f t="shared" si="2"/>
        <v>340</v>
      </c>
      <c r="C341" s="29" t="s">
        <v>357</v>
      </c>
      <c r="D341" s="7">
        <v>2.0</v>
      </c>
      <c r="E341" s="8">
        <f t="shared" si="48"/>
        <v>46354</v>
      </c>
      <c r="F341" s="8">
        <f t="shared" si="1"/>
        <v>46356</v>
      </c>
      <c r="G341" s="9">
        <f t="shared" si="62"/>
        <v>339</v>
      </c>
      <c r="H341" s="7" t="s">
        <v>1388</v>
      </c>
    </row>
    <row r="342" ht="22.5" customHeight="1">
      <c r="A342" s="367"/>
      <c r="B342" s="43">
        <f t="shared" si="2"/>
        <v>341</v>
      </c>
      <c r="C342" s="29" t="s">
        <v>358</v>
      </c>
      <c r="D342" s="7">
        <v>1.0</v>
      </c>
      <c r="E342" s="8">
        <f t="shared" si="48"/>
        <v>46356</v>
      </c>
      <c r="F342" s="8">
        <f t="shared" si="1"/>
        <v>46357</v>
      </c>
      <c r="G342" s="9">
        <f t="shared" si="62"/>
        <v>340</v>
      </c>
      <c r="H342" s="7" t="s">
        <v>1373</v>
      </c>
    </row>
    <row r="343" ht="22.5" customHeight="1">
      <c r="A343" s="367"/>
      <c r="B343" s="43">
        <f t="shared" si="2"/>
        <v>342</v>
      </c>
      <c r="C343" s="29" t="s">
        <v>359</v>
      </c>
      <c r="D343" s="7">
        <v>2.0</v>
      </c>
      <c r="E343" s="8">
        <f t="shared" si="48"/>
        <v>46357</v>
      </c>
      <c r="F343" s="8">
        <f t="shared" si="1"/>
        <v>46359</v>
      </c>
      <c r="G343" s="9">
        <f t="shared" si="62"/>
        <v>341</v>
      </c>
      <c r="H343" s="7" t="s">
        <v>1373</v>
      </c>
    </row>
    <row r="344" ht="22.5" customHeight="1">
      <c r="A344" s="367"/>
      <c r="B344" s="43">
        <f t="shared" si="2"/>
        <v>343</v>
      </c>
      <c r="C344" s="29" t="s">
        <v>360</v>
      </c>
      <c r="D344" s="7">
        <v>4.0</v>
      </c>
      <c r="E344" s="8">
        <f t="shared" si="48"/>
        <v>46359</v>
      </c>
      <c r="F344" s="8">
        <f t="shared" si="1"/>
        <v>46363</v>
      </c>
      <c r="G344" s="9">
        <f t="shared" si="62"/>
        <v>342</v>
      </c>
      <c r="H344" s="7" t="s">
        <v>1392</v>
      </c>
    </row>
    <row r="345" ht="22.5" customHeight="1">
      <c r="A345" s="367"/>
      <c r="B345" s="43">
        <f t="shared" si="2"/>
        <v>344</v>
      </c>
      <c r="C345" s="29" t="s">
        <v>361</v>
      </c>
      <c r="D345" s="7">
        <v>2.0</v>
      </c>
      <c r="E345" s="8">
        <f t="shared" si="48"/>
        <v>46363</v>
      </c>
      <c r="F345" s="8">
        <f t="shared" si="1"/>
        <v>46365</v>
      </c>
      <c r="G345" s="9">
        <f t="shared" si="62"/>
        <v>343</v>
      </c>
      <c r="H345" s="7" t="s">
        <v>1388</v>
      </c>
    </row>
    <row r="346" ht="22.5" customHeight="1">
      <c r="A346" s="368"/>
      <c r="B346" s="369">
        <f t="shared" si="2"/>
        <v>345</v>
      </c>
      <c r="C346" s="29" t="s">
        <v>1408</v>
      </c>
      <c r="D346" s="64">
        <v>1.0</v>
      </c>
      <c r="E346" s="8">
        <f t="shared" si="48"/>
        <v>46365</v>
      </c>
      <c r="F346" s="370">
        <f t="shared" si="1"/>
        <v>46366</v>
      </c>
      <c r="G346" s="371">
        <f>B284</f>
        <v>283</v>
      </c>
      <c r="H346" s="64" t="s">
        <v>1373</v>
      </c>
    </row>
    <row r="347" ht="22.5" customHeight="1">
      <c r="A347" s="366" t="s">
        <v>363</v>
      </c>
      <c r="B347" s="43">
        <f t="shared" si="2"/>
        <v>346</v>
      </c>
      <c r="C347" s="29" t="s">
        <v>364</v>
      </c>
      <c r="D347" s="7">
        <v>1.0</v>
      </c>
      <c r="E347" s="8">
        <f t="shared" si="48"/>
        <v>46366</v>
      </c>
      <c r="F347" s="8">
        <f t="shared" si="1"/>
        <v>46367</v>
      </c>
      <c r="G347" s="9">
        <f>B284</f>
        <v>283</v>
      </c>
      <c r="H347" s="7" t="s">
        <v>1373</v>
      </c>
    </row>
    <row r="348" ht="22.5" customHeight="1">
      <c r="A348" s="367"/>
      <c r="B348" s="43">
        <f t="shared" si="2"/>
        <v>347</v>
      </c>
      <c r="C348" s="29" t="s">
        <v>365</v>
      </c>
      <c r="D348" s="7">
        <v>2.0</v>
      </c>
      <c r="E348" s="8">
        <f t="shared" si="48"/>
        <v>46367</v>
      </c>
      <c r="F348" s="8">
        <f t="shared" si="1"/>
        <v>46369</v>
      </c>
      <c r="G348" s="9">
        <f t="shared" ref="G348:G354" si="63">B347</f>
        <v>346</v>
      </c>
      <c r="H348" s="7" t="s">
        <v>1373</v>
      </c>
    </row>
    <row r="349" ht="22.5" customHeight="1">
      <c r="A349" s="367"/>
      <c r="B349" s="43">
        <f t="shared" si="2"/>
        <v>348</v>
      </c>
      <c r="C349" s="29" t="s">
        <v>366</v>
      </c>
      <c r="D349" s="7">
        <v>4.0</v>
      </c>
      <c r="E349" s="8">
        <f t="shared" si="48"/>
        <v>46369</v>
      </c>
      <c r="F349" s="8">
        <f t="shared" si="1"/>
        <v>46373</v>
      </c>
      <c r="G349" s="9">
        <f t="shared" si="63"/>
        <v>347</v>
      </c>
      <c r="H349" s="7" t="s">
        <v>1392</v>
      </c>
    </row>
    <row r="350" ht="22.5" customHeight="1">
      <c r="A350" s="367"/>
      <c r="B350" s="5">
        <f t="shared" si="2"/>
        <v>349</v>
      </c>
      <c r="C350" s="29" t="s">
        <v>367</v>
      </c>
      <c r="D350" s="7">
        <v>2.0</v>
      </c>
      <c r="E350" s="8">
        <f t="shared" si="48"/>
        <v>46373</v>
      </c>
      <c r="F350" s="8">
        <f t="shared" si="1"/>
        <v>46375</v>
      </c>
      <c r="G350" s="9">
        <f t="shared" si="63"/>
        <v>348</v>
      </c>
      <c r="H350" s="7" t="s">
        <v>1388</v>
      </c>
    </row>
    <row r="351" ht="22.5" customHeight="1">
      <c r="A351" s="367"/>
      <c r="B351" s="43">
        <f t="shared" si="2"/>
        <v>350</v>
      </c>
      <c r="C351" s="29" t="s">
        <v>368</v>
      </c>
      <c r="D351" s="7">
        <v>1.0</v>
      </c>
      <c r="E351" s="8">
        <f t="shared" si="48"/>
        <v>46375</v>
      </c>
      <c r="F351" s="8">
        <f t="shared" si="1"/>
        <v>46376</v>
      </c>
      <c r="G351" s="9">
        <f t="shared" si="63"/>
        <v>349</v>
      </c>
      <c r="H351" s="7" t="s">
        <v>1373</v>
      </c>
    </row>
    <row r="352" ht="22.5" customHeight="1">
      <c r="A352" s="367"/>
      <c r="B352" s="43">
        <f t="shared" si="2"/>
        <v>351</v>
      </c>
      <c r="C352" s="29" t="s">
        <v>369</v>
      </c>
      <c r="D352" s="7">
        <v>2.0</v>
      </c>
      <c r="E352" s="8">
        <f t="shared" si="48"/>
        <v>46376</v>
      </c>
      <c r="F352" s="8">
        <f t="shared" si="1"/>
        <v>46378</v>
      </c>
      <c r="G352" s="9">
        <f t="shared" si="63"/>
        <v>350</v>
      </c>
      <c r="H352" s="7" t="s">
        <v>1373</v>
      </c>
    </row>
    <row r="353" ht="22.5" customHeight="1">
      <c r="A353" s="367"/>
      <c r="B353" s="43">
        <f t="shared" si="2"/>
        <v>352</v>
      </c>
      <c r="C353" s="29" t="s">
        <v>370</v>
      </c>
      <c r="D353" s="7">
        <v>4.0</v>
      </c>
      <c r="E353" s="8">
        <f t="shared" si="48"/>
        <v>46378</v>
      </c>
      <c r="F353" s="8">
        <f t="shared" si="1"/>
        <v>46382</v>
      </c>
      <c r="G353" s="9">
        <f t="shared" si="63"/>
        <v>351</v>
      </c>
      <c r="H353" s="7" t="s">
        <v>1392</v>
      </c>
    </row>
    <row r="354" ht="22.5" customHeight="1">
      <c r="A354" s="367"/>
      <c r="B354" s="43">
        <f t="shared" si="2"/>
        <v>353</v>
      </c>
      <c r="C354" s="29" t="s">
        <v>371</v>
      </c>
      <c r="D354" s="7">
        <v>2.0</v>
      </c>
      <c r="E354" s="8">
        <f t="shared" si="48"/>
        <v>46382</v>
      </c>
      <c r="F354" s="8">
        <f t="shared" si="1"/>
        <v>46384</v>
      </c>
      <c r="G354" s="9">
        <f t="shared" si="63"/>
        <v>352</v>
      </c>
      <c r="H354" s="7" t="s">
        <v>1388</v>
      </c>
    </row>
    <row r="355" ht="22.5" customHeight="1">
      <c r="A355" s="368"/>
      <c r="B355" s="175">
        <f t="shared" si="2"/>
        <v>354</v>
      </c>
      <c r="C355" s="29" t="s">
        <v>1409</v>
      </c>
      <c r="D355" s="64">
        <v>1.0</v>
      </c>
      <c r="E355" s="8">
        <f t="shared" si="48"/>
        <v>46384</v>
      </c>
      <c r="F355" s="370">
        <f t="shared" si="1"/>
        <v>46385</v>
      </c>
      <c r="G355" s="371">
        <f>B284</f>
        <v>283</v>
      </c>
      <c r="H355" s="64" t="s">
        <v>1373</v>
      </c>
    </row>
    <row r="356" ht="22.5" customHeight="1">
      <c r="A356" s="372" t="s">
        <v>373</v>
      </c>
      <c r="B356" s="43">
        <f t="shared" si="2"/>
        <v>355</v>
      </c>
      <c r="C356" s="42" t="s">
        <v>374</v>
      </c>
      <c r="D356" s="7">
        <v>1.0</v>
      </c>
      <c r="E356" s="8">
        <f t="shared" si="48"/>
        <v>46385</v>
      </c>
      <c r="F356" s="8">
        <f t="shared" si="1"/>
        <v>46386</v>
      </c>
      <c r="G356" s="9">
        <f>B284</f>
        <v>283</v>
      </c>
      <c r="H356" s="7" t="s">
        <v>1373</v>
      </c>
    </row>
    <row r="357" ht="22.5" customHeight="1">
      <c r="A357" s="372" t="s">
        <v>375</v>
      </c>
      <c r="B357" s="43">
        <f t="shared" si="2"/>
        <v>356</v>
      </c>
      <c r="C357" s="42" t="s">
        <v>376</v>
      </c>
      <c r="D357" s="7">
        <v>2.0</v>
      </c>
      <c r="E357" s="8">
        <f t="shared" si="48"/>
        <v>46386</v>
      </c>
      <c r="F357" s="8">
        <f t="shared" si="1"/>
        <v>46388</v>
      </c>
      <c r="G357" s="9">
        <f t="shared" ref="G357:G363" si="64">B356</f>
        <v>355</v>
      </c>
      <c r="H357" s="7" t="s">
        <v>1373</v>
      </c>
    </row>
    <row r="358" ht="22.5" customHeight="1">
      <c r="A358" s="373"/>
      <c r="B358" s="43">
        <f t="shared" si="2"/>
        <v>357</v>
      </c>
      <c r="C358" s="42" t="s">
        <v>377</v>
      </c>
      <c r="D358" s="7">
        <v>4.0</v>
      </c>
      <c r="E358" s="8">
        <f t="shared" si="48"/>
        <v>46388</v>
      </c>
      <c r="F358" s="8">
        <f t="shared" si="1"/>
        <v>46392</v>
      </c>
      <c r="G358" s="9">
        <f t="shared" si="64"/>
        <v>356</v>
      </c>
      <c r="H358" s="7" t="s">
        <v>1392</v>
      </c>
    </row>
    <row r="359" ht="22.5" customHeight="1">
      <c r="A359" s="373"/>
      <c r="B359" s="5">
        <f t="shared" si="2"/>
        <v>358</v>
      </c>
      <c r="C359" s="42" t="s">
        <v>378</v>
      </c>
      <c r="D359" s="7">
        <v>2.0</v>
      </c>
      <c r="E359" s="8">
        <f t="shared" si="48"/>
        <v>46392</v>
      </c>
      <c r="F359" s="8">
        <f t="shared" si="1"/>
        <v>46394</v>
      </c>
      <c r="G359" s="9">
        <f t="shared" si="64"/>
        <v>357</v>
      </c>
      <c r="H359" s="7" t="s">
        <v>1388</v>
      </c>
    </row>
    <row r="360" ht="22.5" customHeight="1">
      <c r="A360" s="373"/>
      <c r="B360" s="43">
        <f t="shared" si="2"/>
        <v>359</v>
      </c>
      <c r="C360" s="42" t="s">
        <v>379</v>
      </c>
      <c r="D360" s="7">
        <v>1.0</v>
      </c>
      <c r="E360" s="8">
        <f t="shared" si="48"/>
        <v>46394</v>
      </c>
      <c r="F360" s="8">
        <f t="shared" si="1"/>
        <v>46395</v>
      </c>
      <c r="G360" s="9">
        <f t="shared" si="64"/>
        <v>358</v>
      </c>
      <c r="H360" s="7" t="s">
        <v>1373</v>
      </c>
    </row>
    <row r="361" ht="22.5" customHeight="1">
      <c r="A361" s="373"/>
      <c r="B361" s="43">
        <f t="shared" si="2"/>
        <v>360</v>
      </c>
      <c r="C361" s="42" t="s">
        <v>380</v>
      </c>
      <c r="D361" s="7">
        <v>2.0</v>
      </c>
      <c r="E361" s="8">
        <f t="shared" si="48"/>
        <v>46395</v>
      </c>
      <c r="F361" s="8">
        <f t="shared" si="1"/>
        <v>46397</v>
      </c>
      <c r="G361" s="9">
        <f t="shared" si="64"/>
        <v>359</v>
      </c>
      <c r="H361" s="7" t="s">
        <v>1373</v>
      </c>
    </row>
    <row r="362" ht="22.5" customHeight="1">
      <c r="A362" s="373"/>
      <c r="B362" s="43">
        <f t="shared" si="2"/>
        <v>361</v>
      </c>
      <c r="C362" s="42" t="s">
        <v>381</v>
      </c>
      <c r="D362" s="7">
        <v>4.0</v>
      </c>
      <c r="E362" s="8">
        <f t="shared" si="48"/>
        <v>46397</v>
      </c>
      <c r="F362" s="8">
        <f t="shared" si="1"/>
        <v>46401</v>
      </c>
      <c r="G362" s="9">
        <f t="shared" si="64"/>
        <v>360</v>
      </c>
      <c r="H362" s="7" t="s">
        <v>1392</v>
      </c>
    </row>
    <row r="363" ht="22.5" customHeight="1">
      <c r="A363" s="373"/>
      <c r="B363" s="43">
        <f t="shared" si="2"/>
        <v>362</v>
      </c>
      <c r="C363" s="42" t="s">
        <v>382</v>
      </c>
      <c r="D363" s="7">
        <v>2.0</v>
      </c>
      <c r="E363" s="8">
        <f t="shared" si="48"/>
        <v>46401</v>
      </c>
      <c r="F363" s="8">
        <f t="shared" si="1"/>
        <v>46403</v>
      </c>
      <c r="G363" s="9">
        <f t="shared" si="64"/>
        <v>361</v>
      </c>
      <c r="H363" s="7" t="s">
        <v>1388</v>
      </c>
    </row>
    <row r="364" ht="22.5" customHeight="1">
      <c r="A364" s="374"/>
      <c r="B364" s="5">
        <f t="shared" si="2"/>
        <v>363</v>
      </c>
      <c r="C364" s="42" t="s">
        <v>383</v>
      </c>
      <c r="D364" s="7">
        <v>1.0</v>
      </c>
      <c r="E364" s="8">
        <f t="shared" si="48"/>
        <v>46403</v>
      </c>
      <c r="F364" s="8">
        <f t="shared" si="1"/>
        <v>46404</v>
      </c>
      <c r="G364" s="9">
        <f>B356</f>
        <v>355</v>
      </c>
      <c r="H364" s="7" t="s">
        <v>1373</v>
      </c>
    </row>
    <row r="365" ht="22.5" customHeight="1">
      <c r="A365" s="373"/>
      <c r="B365" s="43">
        <f t="shared" si="2"/>
        <v>364</v>
      </c>
      <c r="C365" s="42" t="s">
        <v>384</v>
      </c>
      <c r="D365" s="7">
        <v>2.0</v>
      </c>
      <c r="E365" s="8">
        <f t="shared" si="48"/>
        <v>46404</v>
      </c>
      <c r="F365" s="8">
        <f t="shared" si="1"/>
        <v>46406</v>
      </c>
      <c r="G365" s="9">
        <f t="shared" ref="G365:G371" si="65">B364</f>
        <v>363</v>
      </c>
      <c r="H365" s="7" t="s">
        <v>1373</v>
      </c>
    </row>
    <row r="366" ht="22.5" customHeight="1">
      <c r="A366" s="373"/>
      <c r="B366" s="43">
        <f t="shared" si="2"/>
        <v>365</v>
      </c>
      <c r="C366" s="42" t="s">
        <v>385</v>
      </c>
      <c r="D366" s="7">
        <v>4.0</v>
      </c>
      <c r="E366" s="8">
        <f t="shared" si="48"/>
        <v>46406</v>
      </c>
      <c r="F366" s="8">
        <f t="shared" si="1"/>
        <v>46410</v>
      </c>
      <c r="G366" s="9">
        <f t="shared" si="65"/>
        <v>364</v>
      </c>
      <c r="H366" s="7" t="s">
        <v>1392</v>
      </c>
    </row>
    <row r="367" ht="22.5" customHeight="1">
      <c r="A367" s="373"/>
      <c r="B367" s="5">
        <f t="shared" si="2"/>
        <v>366</v>
      </c>
      <c r="C367" s="42" t="s">
        <v>386</v>
      </c>
      <c r="D367" s="7">
        <v>2.0</v>
      </c>
      <c r="E367" s="8">
        <f t="shared" si="48"/>
        <v>46410</v>
      </c>
      <c r="F367" s="8">
        <f t="shared" si="1"/>
        <v>46412</v>
      </c>
      <c r="G367" s="9">
        <f t="shared" si="65"/>
        <v>365</v>
      </c>
      <c r="H367" s="7" t="s">
        <v>1388</v>
      </c>
    </row>
    <row r="368" ht="22.5" customHeight="1">
      <c r="A368" s="373"/>
      <c r="B368" s="43">
        <f t="shared" si="2"/>
        <v>367</v>
      </c>
      <c r="C368" s="42" t="s">
        <v>387</v>
      </c>
      <c r="D368" s="7">
        <v>1.0</v>
      </c>
      <c r="E368" s="8">
        <f t="shared" si="48"/>
        <v>46412</v>
      </c>
      <c r="F368" s="8">
        <f t="shared" si="1"/>
        <v>46413</v>
      </c>
      <c r="G368" s="9">
        <f t="shared" si="65"/>
        <v>366</v>
      </c>
      <c r="H368" s="7" t="s">
        <v>1373</v>
      </c>
    </row>
    <row r="369" ht="22.5" customHeight="1">
      <c r="A369" s="373"/>
      <c r="B369" s="43">
        <f t="shared" si="2"/>
        <v>368</v>
      </c>
      <c r="C369" s="42" t="s">
        <v>388</v>
      </c>
      <c r="D369" s="7">
        <v>2.0</v>
      </c>
      <c r="E369" s="8">
        <f t="shared" si="48"/>
        <v>46413</v>
      </c>
      <c r="F369" s="8">
        <f t="shared" si="1"/>
        <v>46415</v>
      </c>
      <c r="G369" s="9">
        <f t="shared" si="65"/>
        <v>367</v>
      </c>
      <c r="H369" s="7" t="s">
        <v>1373</v>
      </c>
    </row>
    <row r="370" ht="22.5" customHeight="1">
      <c r="A370" s="373"/>
      <c r="B370" s="43">
        <f t="shared" si="2"/>
        <v>369</v>
      </c>
      <c r="C370" s="42" t="s">
        <v>389</v>
      </c>
      <c r="D370" s="7">
        <v>4.0</v>
      </c>
      <c r="E370" s="8">
        <f t="shared" si="48"/>
        <v>46415</v>
      </c>
      <c r="F370" s="8">
        <f t="shared" si="1"/>
        <v>46419</v>
      </c>
      <c r="G370" s="9">
        <f t="shared" si="65"/>
        <v>368</v>
      </c>
      <c r="H370" s="7" t="s">
        <v>1392</v>
      </c>
    </row>
    <row r="371" ht="22.5" customHeight="1">
      <c r="A371" s="375"/>
      <c r="B371" s="5">
        <f t="shared" si="2"/>
        <v>370</v>
      </c>
      <c r="C371" s="42" t="s">
        <v>390</v>
      </c>
      <c r="D371" s="7">
        <v>2.0</v>
      </c>
      <c r="E371" s="8">
        <f t="shared" si="48"/>
        <v>46419</v>
      </c>
      <c r="F371" s="8">
        <f t="shared" si="1"/>
        <v>46421</v>
      </c>
      <c r="G371" s="9">
        <f t="shared" si="65"/>
        <v>369</v>
      </c>
      <c r="H371" s="7" t="s">
        <v>1388</v>
      </c>
    </row>
    <row r="372" ht="22.5" customHeight="1">
      <c r="A372" s="376"/>
      <c r="B372" s="5">
        <f t="shared" si="2"/>
        <v>371</v>
      </c>
      <c r="C372" s="42" t="s">
        <v>1410</v>
      </c>
      <c r="D372" s="7">
        <v>1.0</v>
      </c>
      <c r="E372" s="8">
        <f t="shared" si="48"/>
        <v>46421</v>
      </c>
      <c r="F372" s="8">
        <f t="shared" si="1"/>
        <v>46422</v>
      </c>
      <c r="G372" s="9">
        <f>B284</f>
        <v>283</v>
      </c>
      <c r="H372" s="7" t="s">
        <v>1373</v>
      </c>
    </row>
    <row r="373" ht="22.5" customHeight="1">
      <c r="A373" s="366" t="s">
        <v>373</v>
      </c>
      <c r="B373" s="43">
        <f t="shared" si="2"/>
        <v>372</v>
      </c>
      <c r="C373" s="29" t="s">
        <v>395</v>
      </c>
      <c r="D373" s="66">
        <v>1.0</v>
      </c>
      <c r="E373" s="8">
        <f t="shared" si="48"/>
        <v>46422</v>
      </c>
      <c r="F373" s="8">
        <f t="shared" si="1"/>
        <v>46423</v>
      </c>
      <c r="G373" s="9">
        <f>B284</f>
        <v>283</v>
      </c>
      <c r="H373" s="7" t="s">
        <v>1373</v>
      </c>
    </row>
    <row r="374" ht="22.5" customHeight="1">
      <c r="A374" s="366" t="s">
        <v>396</v>
      </c>
      <c r="B374" s="43">
        <f t="shared" si="2"/>
        <v>373</v>
      </c>
      <c r="C374" s="29" t="s">
        <v>397</v>
      </c>
      <c r="D374" s="64">
        <v>2.0</v>
      </c>
      <c r="E374" s="8">
        <f t="shared" si="48"/>
        <v>46423</v>
      </c>
      <c r="F374" s="8">
        <f t="shared" si="1"/>
        <v>46425</v>
      </c>
      <c r="G374" s="9">
        <f t="shared" ref="G374:G385" si="66">B373</f>
        <v>372</v>
      </c>
      <c r="H374" s="7" t="s">
        <v>1373</v>
      </c>
    </row>
    <row r="375" ht="22.5" customHeight="1">
      <c r="A375" s="367"/>
      <c r="B375" s="43">
        <f t="shared" si="2"/>
        <v>374</v>
      </c>
      <c r="C375" s="29" t="s">
        <v>398</v>
      </c>
      <c r="D375" s="66">
        <v>4.0</v>
      </c>
      <c r="E375" s="8">
        <f t="shared" si="48"/>
        <v>46425</v>
      </c>
      <c r="F375" s="8">
        <f t="shared" si="1"/>
        <v>46429</v>
      </c>
      <c r="G375" s="9">
        <f t="shared" si="66"/>
        <v>373</v>
      </c>
      <c r="H375" s="7" t="s">
        <v>1392</v>
      </c>
    </row>
    <row r="376" ht="22.5" customHeight="1">
      <c r="A376" s="367"/>
      <c r="B376" s="5">
        <f t="shared" si="2"/>
        <v>375</v>
      </c>
      <c r="C376" s="29" t="s">
        <v>399</v>
      </c>
      <c r="D376" s="64">
        <v>2.0</v>
      </c>
      <c r="E376" s="8">
        <f t="shared" si="48"/>
        <v>46429</v>
      </c>
      <c r="F376" s="8">
        <f t="shared" si="1"/>
        <v>46431</v>
      </c>
      <c r="G376" s="9">
        <f t="shared" si="66"/>
        <v>374</v>
      </c>
      <c r="H376" s="7" t="s">
        <v>1388</v>
      </c>
    </row>
    <row r="377" ht="22.5" customHeight="1">
      <c r="A377" s="367"/>
      <c r="B377" s="43">
        <f t="shared" si="2"/>
        <v>376</v>
      </c>
      <c r="C377" s="29" t="s">
        <v>400</v>
      </c>
      <c r="D377" s="66">
        <v>1.0</v>
      </c>
      <c r="E377" s="8">
        <f t="shared" si="48"/>
        <v>46431</v>
      </c>
      <c r="F377" s="8">
        <f t="shared" si="1"/>
        <v>46432</v>
      </c>
      <c r="G377" s="9">
        <f t="shared" si="66"/>
        <v>375</v>
      </c>
      <c r="H377" s="7" t="s">
        <v>1373</v>
      </c>
    </row>
    <row r="378" ht="22.5" customHeight="1">
      <c r="A378" s="367"/>
      <c r="B378" s="43">
        <f t="shared" si="2"/>
        <v>377</v>
      </c>
      <c r="C378" s="29" t="s">
        <v>401</v>
      </c>
      <c r="D378" s="64">
        <v>2.0</v>
      </c>
      <c r="E378" s="8">
        <f t="shared" si="48"/>
        <v>46432</v>
      </c>
      <c r="F378" s="8">
        <f t="shared" si="1"/>
        <v>46434</v>
      </c>
      <c r="G378" s="9">
        <f t="shared" si="66"/>
        <v>376</v>
      </c>
      <c r="H378" s="7" t="s">
        <v>1373</v>
      </c>
    </row>
    <row r="379" ht="22.5" customHeight="1">
      <c r="A379" s="367"/>
      <c r="B379" s="43">
        <f t="shared" si="2"/>
        <v>378</v>
      </c>
      <c r="C379" s="29" t="s">
        <v>402</v>
      </c>
      <c r="D379" s="66">
        <v>4.0</v>
      </c>
      <c r="E379" s="8">
        <f t="shared" si="48"/>
        <v>46434</v>
      </c>
      <c r="F379" s="8">
        <f t="shared" si="1"/>
        <v>46438</v>
      </c>
      <c r="G379" s="9">
        <f t="shared" si="66"/>
        <v>377</v>
      </c>
      <c r="H379" s="7" t="s">
        <v>1392</v>
      </c>
    </row>
    <row r="380" ht="22.5" customHeight="1">
      <c r="A380" s="377"/>
      <c r="B380" s="5">
        <f t="shared" si="2"/>
        <v>379</v>
      </c>
      <c r="C380" s="29" t="s">
        <v>403</v>
      </c>
      <c r="D380" s="64">
        <v>2.0</v>
      </c>
      <c r="E380" s="8">
        <f t="shared" si="48"/>
        <v>46438</v>
      </c>
      <c r="F380" s="8">
        <f t="shared" si="1"/>
        <v>46440</v>
      </c>
      <c r="G380" s="9">
        <f t="shared" si="66"/>
        <v>378</v>
      </c>
      <c r="H380" s="7" t="s">
        <v>1388</v>
      </c>
    </row>
    <row r="381" ht="22.5" customHeight="1">
      <c r="A381" s="377"/>
      <c r="B381" s="5">
        <f t="shared" si="2"/>
        <v>380</v>
      </c>
      <c r="C381" s="29" t="s">
        <v>404</v>
      </c>
      <c r="D381" s="66">
        <v>1.0</v>
      </c>
      <c r="E381" s="8">
        <f t="shared" si="48"/>
        <v>46440</v>
      </c>
      <c r="F381" s="8">
        <f t="shared" si="1"/>
        <v>46441</v>
      </c>
      <c r="G381" s="9">
        <f t="shared" si="66"/>
        <v>379</v>
      </c>
      <c r="H381" s="7" t="s">
        <v>1373</v>
      </c>
    </row>
    <row r="382" ht="22.5" customHeight="1">
      <c r="A382" s="377"/>
      <c r="B382" s="5">
        <f t="shared" si="2"/>
        <v>381</v>
      </c>
      <c r="C382" s="29" t="s">
        <v>405</v>
      </c>
      <c r="D382" s="64">
        <v>2.0</v>
      </c>
      <c r="E382" s="8">
        <f t="shared" si="48"/>
        <v>46441</v>
      </c>
      <c r="F382" s="8">
        <f t="shared" si="1"/>
        <v>46443</v>
      </c>
      <c r="G382" s="9">
        <f t="shared" si="66"/>
        <v>380</v>
      </c>
      <c r="H382" s="7" t="s">
        <v>1373</v>
      </c>
    </row>
    <row r="383" ht="22.5" customHeight="1">
      <c r="A383" s="377"/>
      <c r="B383" s="5">
        <f t="shared" si="2"/>
        <v>382</v>
      </c>
      <c r="C383" s="29" t="s">
        <v>406</v>
      </c>
      <c r="D383" s="66">
        <v>4.0</v>
      </c>
      <c r="E383" s="8">
        <f t="shared" si="48"/>
        <v>46443</v>
      </c>
      <c r="F383" s="8">
        <f t="shared" si="1"/>
        <v>46447</v>
      </c>
      <c r="G383" s="9">
        <f t="shared" si="66"/>
        <v>381</v>
      </c>
      <c r="H383" s="7" t="s">
        <v>1392</v>
      </c>
    </row>
    <row r="384" ht="22.5" customHeight="1">
      <c r="A384" s="377"/>
      <c r="B384" s="5">
        <f t="shared" si="2"/>
        <v>383</v>
      </c>
      <c r="C384" s="29" t="s">
        <v>407</v>
      </c>
      <c r="D384" s="64">
        <v>2.0</v>
      </c>
      <c r="E384" s="8">
        <f t="shared" si="48"/>
        <v>46447</v>
      </c>
      <c r="F384" s="8">
        <f t="shared" si="1"/>
        <v>46449</v>
      </c>
      <c r="G384" s="9">
        <f t="shared" si="66"/>
        <v>382</v>
      </c>
      <c r="H384" s="7" t="s">
        <v>1388</v>
      </c>
    </row>
    <row r="385" ht="22.5" customHeight="1">
      <c r="A385" s="377"/>
      <c r="B385" s="5">
        <f t="shared" si="2"/>
        <v>384</v>
      </c>
      <c r="C385" s="29" t="s">
        <v>408</v>
      </c>
      <c r="D385" s="66">
        <v>1.0</v>
      </c>
      <c r="E385" s="8">
        <f t="shared" si="48"/>
        <v>46449</v>
      </c>
      <c r="F385" s="8">
        <f t="shared" si="1"/>
        <v>46450</v>
      </c>
      <c r="G385" s="9">
        <f t="shared" si="66"/>
        <v>383</v>
      </c>
      <c r="H385" s="7" t="s">
        <v>1373</v>
      </c>
    </row>
    <row r="386" ht="22.5" customHeight="1">
      <c r="A386" s="377"/>
      <c r="B386" s="5">
        <f>B382+1</f>
        <v>382</v>
      </c>
      <c r="C386" s="29" t="s">
        <v>409</v>
      </c>
      <c r="D386" s="64">
        <v>2.0</v>
      </c>
      <c r="E386" s="8">
        <f>F382</f>
        <v>46443</v>
      </c>
      <c r="F386" s="8">
        <f t="shared" si="1"/>
        <v>46445</v>
      </c>
      <c r="G386" s="9">
        <f>B382</f>
        <v>381</v>
      </c>
      <c r="H386" s="7" t="s">
        <v>1373</v>
      </c>
    </row>
    <row r="387" ht="22.5" customHeight="1">
      <c r="A387" s="377"/>
      <c r="B387" s="5">
        <f>B386+1</f>
        <v>383</v>
      </c>
      <c r="C387" s="29" t="s">
        <v>410</v>
      </c>
      <c r="D387" s="66">
        <v>4.0</v>
      </c>
      <c r="E387" s="8">
        <f>F386</f>
        <v>46445</v>
      </c>
      <c r="F387" s="8">
        <f t="shared" si="1"/>
        <v>46449</v>
      </c>
      <c r="G387" s="9">
        <f>B386</f>
        <v>382</v>
      </c>
      <c r="H387" s="7" t="s">
        <v>1392</v>
      </c>
    </row>
    <row r="388" ht="22.5" customHeight="1">
      <c r="A388" s="377"/>
      <c r="B388" s="5">
        <f>B386+1</f>
        <v>383</v>
      </c>
      <c r="C388" s="29" t="s">
        <v>411</v>
      </c>
      <c r="D388" s="64">
        <v>2.0</v>
      </c>
      <c r="E388" s="8">
        <f>F386</f>
        <v>46445</v>
      </c>
      <c r="F388" s="8">
        <f t="shared" si="1"/>
        <v>46447</v>
      </c>
      <c r="G388" s="9">
        <f>B386</f>
        <v>382</v>
      </c>
      <c r="H388" s="7" t="s">
        <v>1388</v>
      </c>
    </row>
    <row r="389" ht="22.5" customHeight="1">
      <c r="A389" s="378"/>
      <c r="B389" s="5">
        <f>B380+1</f>
        <v>380</v>
      </c>
      <c r="C389" s="29" t="s">
        <v>1411</v>
      </c>
      <c r="D389" s="66">
        <v>1.0</v>
      </c>
      <c r="E389" s="8">
        <f>F380</f>
        <v>46440</v>
      </c>
      <c r="F389" s="8">
        <f t="shared" si="1"/>
        <v>46441</v>
      </c>
      <c r="G389" s="9">
        <f>B284</f>
        <v>283</v>
      </c>
      <c r="H389" s="7" t="s">
        <v>1373</v>
      </c>
    </row>
    <row r="390" ht="22.5" customHeight="1">
      <c r="A390" s="379" t="s">
        <v>373</v>
      </c>
      <c r="B390" s="43">
        <f t="shared" ref="B390:B403" si="67">B389+1</f>
        <v>381</v>
      </c>
      <c r="C390" s="100" t="s">
        <v>416</v>
      </c>
      <c r="D390" s="66">
        <v>1.0</v>
      </c>
      <c r="E390" s="8">
        <f t="shared" ref="E390:E403" si="68">F389</f>
        <v>46441</v>
      </c>
      <c r="F390" s="8">
        <f t="shared" si="1"/>
        <v>46442</v>
      </c>
      <c r="G390" s="9">
        <f>B284</f>
        <v>283</v>
      </c>
      <c r="H390" s="7" t="s">
        <v>1373</v>
      </c>
    </row>
    <row r="391" ht="22.5" customHeight="1">
      <c r="A391" s="379" t="s">
        <v>417</v>
      </c>
      <c r="B391" s="43">
        <f t="shared" si="67"/>
        <v>382</v>
      </c>
      <c r="C391" s="100" t="s">
        <v>418</v>
      </c>
      <c r="D391" s="64">
        <v>2.0</v>
      </c>
      <c r="E391" s="8">
        <f t="shared" si="68"/>
        <v>46442</v>
      </c>
      <c r="F391" s="8">
        <f t="shared" si="1"/>
        <v>46444</v>
      </c>
      <c r="G391" s="9">
        <f t="shared" ref="G391:G403" si="69">B390</f>
        <v>381</v>
      </c>
      <c r="H391" s="7" t="s">
        <v>1373</v>
      </c>
    </row>
    <row r="392" ht="22.5" customHeight="1">
      <c r="A392" s="380"/>
      <c r="B392" s="43">
        <f t="shared" si="67"/>
        <v>383</v>
      </c>
      <c r="C392" s="100" t="s">
        <v>419</v>
      </c>
      <c r="D392" s="66">
        <v>4.0</v>
      </c>
      <c r="E392" s="8">
        <f t="shared" si="68"/>
        <v>46444</v>
      </c>
      <c r="F392" s="8">
        <f t="shared" si="1"/>
        <v>46448</v>
      </c>
      <c r="G392" s="9">
        <f t="shared" si="69"/>
        <v>382</v>
      </c>
      <c r="H392" s="7" t="s">
        <v>1392</v>
      </c>
    </row>
    <row r="393" ht="22.5" customHeight="1">
      <c r="A393" s="380"/>
      <c r="B393" s="5">
        <f t="shared" si="67"/>
        <v>384</v>
      </c>
      <c r="C393" s="100" t="s">
        <v>420</v>
      </c>
      <c r="D393" s="64">
        <v>2.0</v>
      </c>
      <c r="E393" s="8">
        <f t="shared" si="68"/>
        <v>46448</v>
      </c>
      <c r="F393" s="8">
        <f t="shared" si="1"/>
        <v>46450</v>
      </c>
      <c r="G393" s="9">
        <f t="shared" si="69"/>
        <v>383</v>
      </c>
      <c r="H393" s="7" t="s">
        <v>1388</v>
      </c>
    </row>
    <row r="394" ht="22.5" customHeight="1">
      <c r="A394" s="380"/>
      <c r="B394" s="43">
        <f t="shared" si="67"/>
        <v>385</v>
      </c>
      <c r="C394" s="100" t="s">
        <v>421</v>
      </c>
      <c r="D394" s="66">
        <v>1.0</v>
      </c>
      <c r="E394" s="8">
        <f t="shared" si="68"/>
        <v>46450</v>
      </c>
      <c r="F394" s="8">
        <f t="shared" si="1"/>
        <v>46451</v>
      </c>
      <c r="G394" s="9">
        <f t="shared" si="69"/>
        <v>384</v>
      </c>
      <c r="H394" s="7" t="s">
        <v>1373</v>
      </c>
    </row>
    <row r="395" ht="22.5" customHeight="1">
      <c r="A395" s="380"/>
      <c r="B395" s="43">
        <f t="shared" si="67"/>
        <v>386</v>
      </c>
      <c r="C395" s="100" t="s">
        <v>422</v>
      </c>
      <c r="D395" s="64">
        <v>2.0</v>
      </c>
      <c r="E395" s="8">
        <f t="shared" si="68"/>
        <v>46451</v>
      </c>
      <c r="F395" s="8">
        <f t="shared" si="1"/>
        <v>46453</v>
      </c>
      <c r="G395" s="9">
        <f t="shared" si="69"/>
        <v>385</v>
      </c>
      <c r="H395" s="7" t="s">
        <v>1373</v>
      </c>
    </row>
    <row r="396" ht="22.5" customHeight="1">
      <c r="A396" s="380"/>
      <c r="B396" s="43">
        <f t="shared" si="67"/>
        <v>387</v>
      </c>
      <c r="C396" s="100" t="s">
        <v>423</v>
      </c>
      <c r="D396" s="66">
        <v>4.0</v>
      </c>
      <c r="E396" s="8">
        <f t="shared" si="68"/>
        <v>46453</v>
      </c>
      <c r="F396" s="8">
        <f t="shared" si="1"/>
        <v>46457</v>
      </c>
      <c r="G396" s="9">
        <f t="shared" si="69"/>
        <v>386</v>
      </c>
      <c r="H396" s="7" t="s">
        <v>1392</v>
      </c>
    </row>
    <row r="397" ht="22.5" customHeight="1">
      <c r="A397" s="381"/>
      <c r="B397" s="5">
        <f t="shared" si="67"/>
        <v>388</v>
      </c>
      <c r="C397" s="100" t="s">
        <v>424</v>
      </c>
      <c r="D397" s="64">
        <v>2.0</v>
      </c>
      <c r="E397" s="8">
        <f t="shared" si="68"/>
        <v>46457</v>
      </c>
      <c r="F397" s="8">
        <f t="shared" si="1"/>
        <v>46459</v>
      </c>
      <c r="G397" s="9">
        <f t="shared" si="69"/>
        <v>387</v>
      </c>
      <c r="H397" s="7" t="s">
        <v>1388</v>
      </c>
    </row>
    <row r="398" ht="22.5" customHeight="1">
      <c r="A398" s="381"/>
      <c r="B398" s="5">
        <f t="shared" si="67"/>
        <v>389</v>
      </c>
      <c r="C398" s="100" t="s">
        <v>425</v>
      </c>
      <c r="D398" s="66">
        <v>1.0</v>
      </c>
      <c r="E398" s="8">
        <f t="shared" si="68"/>
        <v>46459</v>
      </c>
      <c r="F398" s="8">
        <f t="shared" si="1"/>
        <v>46460</v>
      </c>
      <c r="G398" s="9">
        <f t="shared" si="69"/>
        <v>388</v>
      </c>
      <c r="H398" s="7" t="s">
        <v>1373</v>
      </c>
    </row>
    <row r="399" ht="22.5" customHeight="1">
      <c r="A399" s="381"/>
      <c r="B399" s="5">
        <f t="shared" si="67"/>
        <v>390</v>
      </c>
      <c r="C399" s="100" t="s">
        <v>426</v>
      </c>
      <c r="D399" s="64">
        <v>2.0</v>
      </c>
      <c r="E399" s="8">
        <f t="shared" si="68"/>
        <v>46460</v>
      </c>
      <c r="F399" s="8">
        <f t="shared" si="1"/>
        <v>46462</v>
      </c>
      <c r="G399" s="9">
        <f t="shared" si="69"/>
        <v>389</v>
      </c>
      <c r="H399" s="7" t="s">
        <v>1373</v>
      </c>
    </row>
    <row r="400" ht="22.5" customHeight="1">
      <c r="A400" s="381"/>
      <c r="B400" s="5">
        <f t="shared" si="67"/>
        <v>391</v>
      </c>
      <c r="C400" s="100" t="s">
        <v>427</v>
      </c>
      <c r="D400" s="66">
        <v>4.0</v>
      </c>
      <c r="E400" s="8">
        <f t="shared" si="68"/>
        <v>46462</v>
      </c>
      <c r="F400" s="8">
        <f t="shared" si="1"/>
        <v>46466</v>
      </c>
      <c r="G400" s="9">
        <f t="shared" si="69"/>
        <v>390</v>
      </c>
      <c r="H400" s="7" t="s">
        <v>1392</v>
      </c>
    </row>
    <row r="401" ht="22.5" customHeight="1">
      <c r="A401" s="381"/>
      <c r="B401" s="5">
        <f t="shared" si="67"/>
        <v>392</v>
      </c>
      <c r="C401" s="100" t="s">
        <v>428</v>
      </c>
      <c r="D401" s="64">
        <v>2.0</v>
      </c>
      <c r="E401" s="8">
        <f t="shared" si="68"/>
        <v>46466</v>
      </c>
      <c r="F401" s="8">
        <f t="shared" si="1"/>
        <v>46468</v>
      </c>
      <c r="G401" s="9">
        <f t="shared" si="69"/>
        <v>391</v>
      </c>
      <c r="H401" s="7" t="s">
        <v>1388</v>
      </c>
    </row>
    <row r="402" ht="22.5" customHeight="1">
      <c r="A402" s="381"/>
      <c r="B402" s="5">
        <f t="shared" si="67"/>
        <v>393</v>
      </c>
      <c r="C402" s="100" t="s">
        <v>429</v>
      </c>
      <c r="D402" s="66">
        <v>1.0</v>
      </c>
      <c r="E402" s="8">
        <f t="shared" si="68"/>
        <v>46468</v>
      </c>
      <c r="F402" s="8">
        <f t="shared" si="1"/>
        <v>46469</v>
      </c>
      <c r="G402" s="9">
        <f t="shared" si="69"/>
        <v>392</v>
      </c>
      <c r="H402" s="7" t="s">
        <v>1373</v>
      </c>
    </row>
    <row r="403" ht="22.5" customHeight="1">
      <c r="A403" s="381"/>
      <c r="B403" s="5">
        <f t="shared" si="67"/>
        <v>394</v>
      </c>
      <c r="C403" s="100" t="s">
        <v>430</v>
      </c>
      <c r="D403" s="64">
        <v>2.0</v>
      </c>
      <c r="E403" s="8">
        <f t="shared" si="68"/>
        <v>46469</v>
      </c>
      <c r="F403" s="8">
        <f t="shared" si="1"/>
        <v>46471</v>
      </c>
      <c r="G403" s="9">
        <f t="shared" si="69"/>
        <v>393</v>
      </c>
      <c r="H403" s="7" t="s">
        <v>1373</v>
      </c>
    </row>
    <row r="404" ht="22.5" customHeight="1">
      <c r="A404" s="381"/>
      <c r="B404" s="5">
        <f>B401+1</f>
        <v>393</v>
      </c>
      <c r="C404" s="100" t="s">
        <v>431</v>
      </c>
      <c r="D404" s="66">
        <v>4.0</v>
      </c>
      <c r="E404" s="8">
        <f>F401</f>
        <v>46468</v>
      </c>
      <c r="F404" s="8">
        <f t="shared" si="1"/>
        <v>46472</v>
      </c>
      <c r="G404" s="9">
        <f>B401</f>
        <v>392</v>
      </c>
      <c r="H404" s="7" t="s">
        <v>1392</v>
      </c>
    </row>
    <row r="405" ht="22.5" customHeight="1">
      <c r="A405" s="381"/>
      <c r="B405" s="5">
        <f>B401+1</f>
        <v>393</v>
      </c>
      <c r="C405" s="100" t="s">
        <v>432</v>
      </c>
      <c r="D405" s="64">
        <v>2.0</v>
      </c>
      <c r="E405" s="8">
        <f>F401</f>
        <v>46468</v>
      </c>
      <c r="F405" s="8">
        <f t="shared" si="1"/>
        <v>46470</v>
      </c>
      <c r="G405" s="9">
        <f>B401</f>
        <v>392</v>
      </c>
      <c r="H405" s="7" t="s">
        <v>1388</v>
      </c>
    </row>
    <row r="406" ht="22.5" customHeight="1">
      <c r="A406" s="382"/>
      <c r="B406" s="5">
        <f>B397+1</f>
        <v>389</v>
      </c>
      <c r="C406" s="100" t="s">
        <v>1412</v>
      </c>
      <c r="D406" s="66">
        <v>1.0</v>
      </c>
      <c r="E406" s="8">
        <f>F397</f>
        <v>46459</v>
      </c>
      <c r="F406" s="8">
        <f t="shared" si="1"/>
        <v>46460</v>
      </c>
      <c r="G406" s="9">
        <f>B284</f>
        <v>283</v>
      </c>
      <c r="H406" s="7" t="s">
        <v>1373</v>
      </c>
    </row>
    <row r="407" ht="22.5" customHeight="1">
      <c r="A407" s="383" t="s">
        <v>373</v>
      </c>
      <c r="B407" s="43">
        <f t="shared" ref="B407:B421" si="70">B406+1</f>
        <v>390</v>
      </c>
      <c r="C407" s="139" t="s">
        <v>437</v>
      </c>
      <c r="D407" s="66">
        <v>1.0</v>
      </c>
      <c r="E407" s="8">
        <f t="shared" ref="E407:E421" si="71">F406</f>
        <v>46460</v>
      </c>
      <c r="F407" s="8">
        <f t="shared" si="1"/>
        <v>46461</v>
      </c>
      <c r="G407" s="9">
        <f>B284</f>
        <v>283</v>
      </c>
      <c r="H407" s="7" t="s">
        <v>1373</v>
      </c>
    </row>
    <row r="408" ht="22.5" customHeight="1">
      <c r="A408" s="383" t="s">
        <v>438</v>
      </c>
      <c r="B408" s="43">
        <f t="shared" si="70"/>
        <v>391</v>
      </c>
      <c r="C408" s="139" t="s">
        <v>439</v>
      </c>
      <c r="D408" s="64">
        <v>2.0</v>
      </c>
      <c r="E408" s="8">
        <f t="shared" si="71"/>
        <v>46461</v>
      </c>
      <c r="F408" s="8">
        <f t="shared" si="1"/>
        <v>46463</v>
      </c>
      <c r="G408" s="9">
        <f t="shared" ref="G408:G421" si="72">B407</f>
        <v>390</v>
      </c>
      <c r="H408" s="7" t="s">
        <v>1373</v>
      </c>
    </row>
    <row r="409" ht="22.5" customHeight="1">
      <c r="A409" s="383" t="s">
        <v>440</v>
      </c>
      <c r="B409" s="43">
        <f t="shared" si="70"/>
        <v>392</v>
      </c>
      <c r="C409" s="139" t="s">
        <v>441</v>
      </c>
      <c r="D409" s="66">
        <v>4.0</v>
      </c>
      <c r="E409" s="8">
        <f t="shared" si="71"/>
        <v>46463</v>
      </c>
      <c r="F409" s="8">
        <f t="shared" si="1"/>
        <v>46467</v>
      </c>
      <c r="G409" s="9">
        <f t="shared" si="72"/>
        <v>391</v>
      </c>
      <c r="H409" s="7" t="s">
        <v>1392</v>
      </c>
    </row>
    <row r="410" ht="22.5" customHeight="1">
      <c r="A410" s="384"/>
      <c r="B410" s="5">
        <f t="shared" si="70"/>
        <v>393</v>
      </c>
      <c r="C410" s="139" t="s">
        <v>442</v>
      </c>
      <c r="D410" s="64">
        <v>2.0</v>
      </c>
      <c r="E410" s="8">
        <f t="shared" si="71"/>
        <v>46467</v>
      </c>
      <c r="F410" s="8">
        <f t="shared" si="1"/>
        <v>46469</v>
      </c>
      <c r="G410" s="9">
        <f t="shared" si="72"/>
        <v>392</v>
      </c>
      <c r="H410" s="7" t="s">
        <v>1388</v>
      </c>
    </row>
    <row r="411" ht="22.5" customHeight="1">
      <c r="A411" s="384"/>
      <c r="B411" s="43">
        <f t="shared" si="70"/>
        <v>394</v>
      </c>
      <c r="C411" s="139" t="s">
        <v>443</v>
      </c>
      <c r="D411" s="66">
        <v>1.0</v>
      </c>
      <c r="E411" s="8">
        <f t="shared" si="71"/>
        <v>46469</v>
      </c>
      <c r="F411" s="8">
        <f t="shared" si="1"/>
        <v>46470</v>
      </c>
      <c r="G411" s="9">
        <f t="shared" si="72"/>
        <v>393</v>
      </c>
      <c r="H411" s="7" t="s">
        <v>1373</v>
      </c>
    </row>
    <row r="412" ht="22.5" customHeight="1">
      <c r="A412" s="384"/>
      <c r="B412" s="43">
        <f t="shared" si="70"/>
        <v>395</v>
      </c>
      <c r="C412" s="139" t="s">
        <v>444</v>
      </c>
      <c r="D412" s="64">
        <v>2.0</v>
      </c>
      <c r="E412" s="8">
        <f t="shared" si="71"/>
        <v>46470</v>
      </c>
      <c r="F412" s="8">
        <f t="shared" si="1"/>
        <v>46472</v>
      </c>
      <c r="G412" s="9">
        <f t="shared" si="72"/>
        <v>394</v>
      </c>
      <c r="H412" s="7" t="s">
        <v>1373</v>
      </c>
    </row>
    <row r="413" ht="22.5" customHeight="1">
      <c r="A413" s="384"/>
      <c r="B413" s="43">
        <f t="shared" si="70"/>
        <v>396</v>
      </c>
      <c r="C413" s="139" t="s">
        <v>445</v>
      </c>
      <c r="D413" s="66">
        <v>4.0</v>
      </c>
      <c r="E413" s="8">
        <f t="shared" si="71"/>
        <v>46472</v>
      </c>
      <c r="F413" s="8">
        <f t="shared" si="1"/>
        <v>46476</v>
      </c>
      <c r="G413" s="9">
        <f t="shared" si="72"/>
        <v>395</v>
      </c>
      <c r="H413" s="7" t="s">
        <v>1392</v>
      </c>
    </row>
    <row r="414" ht="22.5" customHeight="1">
      <c r="A414" s="385"/>
      <c r="B414" s="5">
        <f t="shared" si="70"/>
        <v>397</v>
      </c>
      <c r="C414" s="139" t="s">
        <v>446</v>
      </c>
      <c r="D414" s="64">
        <v>2.0</v>
      </c>
      <c r="E414" s="8">
        <f t="shared" si="71"/>
        <v>46476</v>
      </c>
      <c r="F414" s="8">
        <f t="shared" si="1"/>
        <v>46478</v>
      </c>
      <c r="G414" s="9">
        <f t="shared" si="72"/>
        <v>396</v>
      </c>
      <c r="H414" s="7" t="s">
        <v>1388</v>
      </c>
    </row>
    <row r="415" ht="22.5" customHeight="1">
      <c r="A415" s="385"/>
      <c r="B415" s="5">
        <f t="shared" si="70"/>
        <v>398</v>
      </c>
      <c r="C415" s="139" t="s">
        <v>447</v>
      </c>
      <c r="D415" s="66">
        <v>1.0</v>
      </c>
      <c r="E415" s="8">
        <f t="shared" si="71"/>
        <v>46478</v>
      </c>
      <c r="F415" s="8">
        <f t="shared" si="1"/>
        <v>46479</v>
      </c>
      <c r="G415" s="9">
        <f t="shared" si="72"/>
        <v>397</v>
      </c>
      <c r="H415" s="7" t="s">
        <v>1373</v>
      </c>
    </row>
    <row r="416" ht="22.5" customHeight="1">
      <c r="A416" s="385"/>
      <c r="B416" s="5">
        <f t="shared" si="70"/>
        <v>399</v>
      </c>
      <c r="C416" s="139" t="s">
        <v>448</v>
      </c>
      <c r="D416" s="64">
        <v>2.0</v>
      </c>
      <c r="E416" s="8">
        <f t="shared" si="71"/>
        <v>46479</v>
      </c>
      <c r="F416" s="8">
        <f t="shared" si="1"/>
        <v>46481</v>
      </c>
      <c r="G416" s="9">
        <f t="shared" si="72"/>
        <v>398</v>
      </c>
      <c r="H416" s="7" t="s">
        <v>1373</v>
      </c>
    </row>
    <row r="417" ht="22.5" customHeight="1">
      <c r="A417" s="385"/>
      <c r="B417" s="5">
        <f t="shared" si="70"/>
        <v>400</v>
      </c>
      <c r="C417" s="139" t="s">
        <v>449</v>
      </c>
      <c r="D417" s="66">
        <v>4.0</v>
      </c>
      <c r="E417" s="8">
        <f t="shared" si="71"/>
        <v>46481</v>
      </c>
      <c r="F417" s="8">
        <f t="shared" si="1"/>
        <v>46485</v>
      </c>
      <c r="G417" s="9">
        <f t="shared" si="72"/>
        <v>399</v>
      </c>
      <c r="H417" s="7" t="s">
        <v>1392</v>
      </c>
    </row>
    <row r="418" ht="22.5" customHeight="1">
      <c r="A418" s="385"/>
      <c r="B418" s="5">
        <f t="shared" si="70"/>
        <v>401</v>
      </c>
      <c r="C418" s="139" t="s">
        <v>450</v>
      </c>
      <c r="D418" s="64">
        <v>2.0</v>
      </c>
      <c r="E418" s="8">
        <f t="shared" si="71"/>
        <v>46485</v>
      </c>
      <c r="F418" s="8">
        <f t="shared" si="1"/>
        <v>46487</v>
      </c>
      <c r="G418" s="9">
        <f t="shared" si="72"/>
        <v>400</v>
      </c>
      <c r="H418" s="7" t="s">
        <v>1388</v>
      </c>
    </row>
    <row r="419" ht="22.5" customHeight="1">
      <c r="A419" s="385"/>
      <c r="B419" s="5">
        <f t="shared" si="70"/>
        <v>402</v>
      </c>
      <c r="C419" s="139" t="s">
        <v>451</v>
      </c>
      <c r="D419" s="66">
        <v>1.0</v>
      </c>
      <c r="E419" s="8">
        <f t="shared" si="71"/>
        <v>46487</v>
      </c>
      <c r="F419" s="8">
        <f t="shared" si="1"/>
        <v>46488</v>
      </c>
      <c r="G419" s="9">
        <f t="shared" si="72"/>
        <v>401</v>
      </c>
      <c r="H419" s="7" t="s">
        <v>1373</v>
      </c>
    </row>
    <row r="420" ht="22.5" customHeight="1">
      <c r="A420" s="385"/>
      <c r="B420" s="5">
        <f t="shared" si="70"/>
        <v>403</v>
      </c>
      <c r="C420" s="139" t="s">
        <v>452</v>
      </c>
      <c r="D420" s="64">
        <v>2.0</v>
      </c>
      <c r="E420" s="8">
        <f t="shared" si="71"/>
        <v>46488</v>
      </c>
      <c r="F420" s="8">
        <f t="shared" si="1"/>
        <v>46490</v>
      </c>
      <c r="G420" s="9">
        <f t="shared" si="72"/>
        <v>402</v>
      </c>
      <c r="H420" s="7" t="s">
        <v>1373</v>
      </c>
    </row>
    <row r="421" ht="22.5" customHeight="1">
      <c r="A421" s="385"/>
      <c r="B421" s="5">
        <f t="shared" si="70"/>
        <v>404</v>
      </c>
      <c r="C421" s="139" t="s">
        <v>453</v>
      </c>
      <c r="D421" s="66">
        <v>4.0</v>
      </c>
      <c r="E421" s="8">
        <f t="shared" si="71"/>
        <v>46490</v>
      </c>
      <c r="F421" s="8">
        <f t="shared" si="1"/>
        <v>46494</v>
      </c>
      <c r="G421" s="9">
        <f t="shared" si="72"/>
        <v>403</v>
      </c>
      <c r="H421" s="7" t="s">
        <v>1392</v>
      </c>
    </row>
    <row r="422" ht="22.5" customHeight="1">
      <c r="A422" s="385"/>
      <c r="B422" s="5">
        <f>B415+1</f>
        <v>399</v>
      </c>
      <c r="C422" s="139" t="s">
        <v>454</v>
      </c>
      <c r="D422" s="64">
        <v>2.0</v>
      </c>
      <c r="E422" s="8">
        <f>F415</f>
        <v>46479</v>
      </c>
      <c r="F422" s="8">
        <f t="shared" si="1"/>
        <v>46481</v>
      </c>
      <c r="G422" s="9">
        <f>B415</f>
        <v>398</v>
      </c>
      <c r="H422" s="7" t="s">
        <v>1388</v>
      </c>
    </row>
    <row r="423" ht="22.5" customHeight="1">
      <c r="A423" s="385"/>
      <c r="B423" s="5">
        <f>B422+1</f>
        <v>400</v>
      </c>
      <c r="C423" s="139" t="s">
        <v>1413</v>
      </c>
      <c r="D423" s="66">
        <v>1.0</v>
      </c>
      <c r="E423" s="8">
        <f>F422</f>
        <v>46481</v>
      </c>
      <c r="F423" s="8">
        <f t="shared" si="1"/>
        <v>46482</v>
      </c>
      <c r="G423" s="9">
        <f>B422</f>
        <v>399</v>
      </c>
      <c r="H423" s="7" t="s">
        <v>1373</v>
      </c>
    </row>
    <row r="424" ht="22.5" customHeight="1">
      <c r="A424" s="386"/>
      <c r="B424" s="5">
        <f>B414+1</f>
        <v>398</v>
      </c>
      <c r="C424" s="139" t="s">
        <v>1413</v>
      </c>
      <c r="D424" s="7">
        <v>1.0</v>
      </c>
      <c r="E424" s="8">
        <f>F414</f>
        <v>46478</v>
      </c>
      <c r="F424" s="8">
        <f t="shared" si="1"/>
        <v>46479</v>
      </c>
      <c r="G424" s="9">
        <f>B284</f>
        <v>283</v>
      </c>
      <c r="H424" s="7" t="s">
        <v>1373</v>
      </c>
    </row>
    <row r="425" ht="22.5" customHeight="1">
      <c r="A425" s="15" t="s">
        <v>459</v>
      </c>
      <c r="B425" s="43">
        <f t="shared" ref="B425:B428" si="73">B424+1</f>
        <v>399</v>
      </c>
      <c r="C425" s="67" t="s">
        <v>460</v>
      </c>
      <c r="D425" s="7">
        <v>1.0</v>
      </c>
      <c r="E425" s="8">
        <f t="shared" ref="E425:E428" si="74">F424</f>
        <v>46479</v>
      </c>
      <c r="F425" s="8">
        <f t="shared" si="1"/>
        <v>46480</v>
      </c>
      <c r="G425" s="9" t="str">
        <f>B319&amp; "-" &amp;B328&amp; "-" &amp;B337&amp; "-" &amp;B346  &amp; "-" &amp; B355 &amp; "-" &amp;B372  &amp; "-" &amp;B389  &amp; "-" &amp;B406  &amp; "-" &amp;B424</f>
        <v>318-327-336-345-354-371-380-389-398</v>
      </c>
      <c r="H425" s="7" t="s">
        <v>1373</v>
      </c>
    </row>
    <row r="426" ht="22.5" customHeight="1">
      <c r="A426" s="338"/>
      <c r="B426" s="43">
        <f t="shared" si="73"/>
        <v>400</v>
      </c>
      <c r="C426" s="67" t="s">
        <v>461</v>
      </c>
      <c r="D426" s="7">
        <v>2.0</v>
      </c>
      <c r="E426" s="8">
        <f t="shared" si="74"/>
        <v>46480</v>
      </c>
      <c r="F426" s="8">
        <f t="shared" si="1"/>
        <v>46482</v>
      </c>
      <c r="G426" s="9">
        <f t="shared" ref="G426:G428" si="75">B425</f>
        <v>399</v>
      </c>
      <c r="H426" s="7" t="s">
        <v>1373</v>
      </c>
    </row>
    <row r="427" ht="22.5" customHeight="1">
      <c r="A427" s="338"/>
      <c r="B427" s="43">
        <f t="shared" si="73"/>
        <v>401</v>
      </c>
      <c r="C427" s="67" t="s">
        <v>462</v>
      </c>
      <c r="D427" s="7">
        <v>4.0</v>
      </c>
      <c r="E427" s="8">
        <f t="shared" si="74"/>
        <v>46482</v>
      </c>
      <c r="F427" s="8">
        <f t="shared" si="1"/>
        <v>46486</v>
      </c>
      <c r="G427" s="9">
        <f t="shared" si="75"/>
        <v>400</v>
      </c>
      <c r="H427" s="7" t="s">
        <v>1392</v>
      </c>
    </row>
    <row r="428" ht="22.5" customHeight="1">
      <c r="A428" s="387"/>
      <c r="B428" s="43">
        <f t="shared" si="73"/>
        <v>402</v>
      </c>
      <c r="C428" s="67" t="s">
        <v>463</v>
      </c>
      <c r="D428" s="7">
        <v>2.0</v>
      </c>
      <c r="E428" s="8">
        <f t="shared" si="74"/>
        <v>46486</v>
      </c>
      <c r="F428" s="8">
        <f t="shared" si="1"/>
        <v>46488</v>
      </c>
      <c r="G428" s="9">
        <f t="shared" si="75"/>
        <v>401</v>
      </c>
      <c r="H428" s="7" t="s">
        <v>1388</v>
      </c>
    </row>
    <row r="429" ht="22.5" customHeight="1">
      <c r="A429" s="388"/>
      <c r="B429" s="388"/>
      <c r="C429" s="388"/>
      <c r="D429" s="388"/>
      <c r="E429" s="388"/>
      <c r="F429" s="388"/>
      <c r="G429" s="388"/>
      <c r="H429" s="388"/>
    </row>
    <row r="430" ht="22.5" customHeight="1">
      <c r="A430" s="388"/>
      <c r="B430" s="388"/>
      <c r="C430" s="388"/>
      <c r="D430" s="388"/>
      <c r="E430" s="388"/>
      <c r="F430" s="388"/>
      <c r="G430" s="388"/>
      <c r="H430" s="388"/>
    </row>
    <row r="431" ht="22.5" customHeight="1">
      <c r="A431" s="388"/>
      <c r="B431" s="388"/>
      <c r="C431" s="388"/>
      <c r="D431" s="388"/>
      <c r="E431" s="388"/>
      <c r="F431" s="388"/>
      <c r="G431" s="388"/>
      <c r="H431" s="388"/>
    </row>
    <row r="432" ht="22.5" customHeight="1">
      <c r="A432" s="388"/>
      <c r="B432" s="388"/>
      <c r="C432" s="388"/>
      <c r="D432" s="388"/>
      <c r="E432" s="388"/>
      <c r="F432" s="388"/>
      <c r="G432" s="388"/>
      <c r="H432" s="388"/>
    </row>
    <row r="433" ht="22.5" customHeight="1">
      <c r="A433" s="388"/>
      <c r="B433" s="388"/>
      <c r="C433" s="388"/>
      <c r="D433" s="388"/>
      <c r="E433" s="388"/>
      <c r="F433" s="388"/>
      <c r="G433" s="388"/>
      <c r="H433" s="388"/>
    </row>
    <row r="434" ht="22.5" customHeight="1">
      <c r="A434" s="388"/>
      <c r="B434" s="388"/>
      <c r="C434" s="388"/>
      <c r="D434" s="388"/>
      <c r="E434" s="388"/>
      <c r="F434" s="388"/>
      <c r="G434" s="388"/>
      <c r="H434" s="388"/>
    </row>
    <row r="435" ht="22.5" customHeight="1">
      <c r="A435" s="388"/>
      <c r="B435" s="388"/>
      <c r="C435" s="388"/>
      <c r="D435" s="388"/>
      <c r="E435" s="388"/>
      <c r="F435" s="388"/>
      <c r="G435" s="388"/>
      <c r="H435" s="388"/>
    </row>
    <row r="436" ht="22.5" customHeight="1">
      <c r="A436" s="388"/>
      <c r="B436" s="388"/>
      <c r="C436" s="388"/>
      <c r="D436" s="388"/>
      <c r="E436" s="388"/>
      <c r="F436" s="388"/>
      <c r="G436" s="388"/>
      <c r="H436" s="388"/>
    </row>
    <row r="437" ht="22.5" customHeight="1">
      <c r="A437" s="388"/>
      <c r="B437" s="388"/>
      <c r="C437" s="388"/>
      <c r="D437" s="388"/>
      <c r="E437" s="388"/>
      <c r="F437" s="388"/>
      <c r="G437" s="388"/>
      <c r="H437" s="388"/>
    </row>
    <row r="438" ht="22.5" customHeight="1">
      <c r="A438" s="388"/>
      <c r="B438" s="388"/>
      <c r="C438" s="388"/>
      <c r="D438" s="388"/>
      <c r="E438" s="388"/>
      <c r="F438" s="388"/>
      <c r="G438" s="388"/>
      <c r="H438" s="388"/>
    </row>
    <row r="439" ht="22.5" customHeight="1">
      <c r="A439" s="388"/>
      <c r="B439" s="388"/>
      <c r="C439" s="388"/>
      <c r="D439" s="388"/>
      <c r="E439" s="388"/>
      <c r="F439" s="388"/>
      <c r="G439" s="388"/>
      <c r="H439" s="388"/>
    </row>
    <row r="440" ht="22.5" customHeight="1">
      <c r="A440" s="388"/>
      <c r="B440" s="388"/>
      <c r="C440" s="388"/>
      <c r="D440" s="388"/>
      <c r="E440" s="388"/>
      <c r="F440" s="388"/>
      <c r="G440" s="388"/>
      <c r="H440" s="388"/>
    </row>
    <row r="441" ht="22.5" customHeight="1">
      <c r="A441" s="388"/>
      <c r="B441" s="388"/>
      <c r="C441" s="388"/>
      <c r="D441" s="388"/>
      <c r="E441" s="388"/>
      <c r="F441" s="388"/>
      <c r="G441" s="388"/>
      <c r="H441" s="388"/>
    </row>
    <row r="442" ht="22.5" customHeight="1">
      <c r="A442" s="388"/>
      <c r="B442" s="388"/>
      <c r="C442" s="388"/>
      <c r="D442" s="388"/>
      <c r="E442" s="388"/>
      <c r="F442" s="388"/>
      <c r="G442" s="388"/>
      <c r="H442" s="388"/>
    </row>
    <row r="443" ht="22.5" customHeight="1">
      <c r="A443" s="388"/>
      <c r="B443" s="388"/>
      <c r="C443" s="388"/>
      <c r="D443" s="388"/>
      <c r="E443" s="388"/>
      <c r="F443" s="388"/>
      <c r="G443" s="388"/>
      <c r="H443" s="388"/>
    </row>
    <row r="444" ht="22.5" customHeight="1">
      <c r="A444" s="388"/>
      <c r="B444" s="388"/>
      <c r="C444" s="388"/>
      <c r="D444" s="388"/>
      <c r="E444" s="388"/>
      <c r="F444" s="388"/>
      <c r="G444" s="388"/>
      <c r="H444" s="388"/>
    </row>
    <row r="445" ht="22.5" customHeight="1">
      <c r="A445" s="388"/>
      <c r="B445" s="388"/>
      <c r="C445" s="388"/>
      <c r="D445" s="388"/>
      <c r="E445" s="388"/>
      <c r="F445" s="388"/>
      <c r="G445" s="388"/>
      <c r="H445" s="388"/>
    </row>
    <row r="446" ht="22.5" customHeight="1">
      <c r="A446" s="388"/>
      <c r="B446" s="388"/>
      <c r="C446" s="388"/>
      <c r="D446" s="388"/>
      <c r="E446" s="388"/>
      <c r="F446" s="388"/>
      <c r="G446" s="388"/>
      <c r="H446" s="388"/>
    </row>
    <row r="447" ht="22.5" customHeight="1">
      <c r="A447" s="388"/>
      <c r="B447" s="388"/>
      <c r="C447" s="388"/>
      <c r="D447" s="388"/>
      <c r="E447" s="388"/>
      <c r="F447" s="388"/>
      <c r="G447" s="388"/>
      <c r="H447" s="388"/>
    </row>
    <row r="448" ht="22.5" customHeight="1">
      <c r="A448" s="388"/>
      <c r="B448" s="388"/>
      <c r="C448" s="388"/>
      <c r="D448" s="388"/>
      <c r="E448" s="388"/>
      <c r="F448" s="388"/>
      <c r="G448" s="388"/>
      <c r="H448" s="388"/>
    </row>
    <row r="449">
      <c r="A449" s="389"/>
      <c r="B449" s="389"/>
      <c r="C449" s="390"/>
      <c r="D449" s="389"/>
      <c r="E449" s="389"/>
      <c r="F449" s="389"/>
      <c r="G449" s="389"/>
      <c r="H449" s="389"/>
    </row>
    <row r="450">
      <c r="A450" s="389"/>
      <c r="B450" s="389"/>
      <c r="C450" s="390"/>
      <c r="D450" s="389"/>
      <c r="E450" s="389"/>
      <c r="F450" s="389"/>
      <c r="G450" s="389"/>
      <c r="H450" s="389"/>
    </row>
    <row r="451">
      <c r="A451" s="389"/>
      <c r="B451" s="389"/>
      <c r="C451" s="390"/>
      <c r="D451" s="389"/>
      <c r="E451" s="389"/>
      <c r="F451" s="389"/>
      <c r="G451" s="389"/>
      <c r="H451" s="389"/>
    </row>
    <row r="452">
      <c r="A452" s="389"/>
      <c r="B452" s="389"/>
      <c r="C452" s="390"/>
      <c r="D452" s="389"/>
      <c r="E452" s="389"/>
      <c r="F452" s="389"/>
      <c r="G452" s="389"/>
      <c r="H452" s="389"/>
    </row>
    <row r="453">
      <c r="A453" s="389"/>
      <c r="B453" s="389"/>
      <c r="C453" s="390"/>
      <c r="D453" s="389"/>
      <c r="E453" s="389"/>
      <c r="F453" s="389"/>
      <c r="G453" s="389"/>
      <c r="H453" s="389"/>
    </row>
    <row r="454">
      <c r="A454" s="389"/>
      <c r="B454" s="389"/>
      <c r="C454" s="390"/>
      <c r="D454" s="389"/>
      <c r="E454" s="389"/>
      <c r="F454" s="389"/>
      <c r="G454" s="389"/>
      <c r="H454" s="389"/>
    </row>
    <row r="455">
      <c r="A455" s="389"/>
      <c r="B455" s="389"/>
      <c r="C455" s="390"/>
      <c r="D455" s="389"/>
      <c r="E455" s="389"/>
      <c r="F455" s="389"/>
      <c r="G455" s="389"/>
      <c r="H455" s="389"/>
    </row>
    <row r="456">
      <c r="A456" s="389"/>
      <c r="B456" s="389"/>
      <c r="C456" s="390"/>
      <c r="D456" s="389"/>
      <c r="E456" s="389"/>
      <c r="F456" s="389"/>
      <c r="G456" s="389"/>
      <c r="H456" s="389"/>
    </row>
    <row r="457">
      <c r="A457" s="389"/>
      <c r="B457" s="389"/>
      <c r="C457" s="390"/>
      <c r="D457" s="389"/>
      <c r="E457" s="389"/>
      <c r="F457" s="389"/>
      <c r="G457" s="389"/>
      <c r="H457" s="389"/>
    </row>
    <row r="458">
      <c r="A458" s="389"/>
      <c r="B458" s="389"/>
      <c r="C458" s="390"/>
      <c r="D458" s="389"/>
      <c r="E458" s="389"/>
      <c r="F458" s="389"/>
      <c r="G458" s="389"/>
      <c r="H458" s="389"/>
    </row>
    <row r="459">
      <c r="A459" s="389"/>
      <c r="B459" s="389"/>
      <c r="C459" s="390"/>
      <c r="D459" s="389"/>
      <c r="E459" s="389"/>
      <c r="F459" s="389"/>
      <c r="G459" s="389"/>
      <c r="H459" s="389"/>
    </row>
    <row r="460">
      <c r="A460" s="389"/>
      <c r="B460" s="389"/>
      <c r="C460" s="390"/>
      <c r="D460" s="389"/>
      <c r="E460" s="389"/>
      <c r="F460" s="389"/>
      <c r="G460" s="389"/>
      <c r="H460" s="389"/>
    </row>
    <row r="461">
      <c r="A461" s="389"/>
      <c r="B461" s="389"/>
      <c r="C461" s="390"/>
      <c r="D461" s="389"/>
      <c r="E461" s="389"/>
      <c r="F461" s="389"/>
      <c r="G461" s="389"/>
      <c r="H461" s="389"/>
    </row>
    <row r="462">
      <c r="A462" s="389"/>
      <c r="B462" s="389"/>
      <c r="C462" s="390"/>
      <c r="D462" s="389"/>
      <c r="E462" s="389"/>
      <c r="F462" s="389"/>
      <c r="G462" s="389"/>
      <c r="H462" s="389"/>
    </row>
    <row r="463">
      <c r="A463" s="389"/>
      <c r="B463" s="389"/>
      <c r="C463" s="390"/>
      <c r="D463" s="389"/>
      <c r="E463" s="389"/>
      <c r="F463" s="389"/>
      <c r="G463" s="389"/>
      <c r="H463" s="389"/>
    </row>
    <row r="464">
      <c r="A464" s="389"/>
      <c r="B464" s="389"/>
      <c r="C464" s="390"/>
      <c r="D464" s="389"/>
      <c r="E464" s="389"/>
      <c r="F464" s="389"/>
      <c r="G464" s="389"/>
      <c r="H464" s="389"/>
    </row>
    <row r="465">
      <c r="A465" s="389"/>
      <c r="B465" s="389"/>
      <c r="C465" s="390"/>
      <c r="D465" s="389"/>
      <c r="E465" s="389"/>
      <c r="F465" s="389"/>
      <c r="G465" s="389"/>
      <c r="H465" s="389"/>
    </row>
    <row r="466">
      <c r="A466" s="389"/>
      <c r="B466" s="389"/>
      <c r="C466" s="390"/>
      <c r="D466" s="389"/>
      <c r="E466" s="389"/>
      <c r="F466" s="389"/>
      <c r="G466" s="389"/>
      <c r="H466" s="389"/>
    </row>
    <row r="467">
      <c r="A467" s="389"/>
      <c r="B467" s="389"/>
      <c r="C467" s="390"/>
      <c r="D467" s="389"/>
      <c r="E467" s="389"/>
      <c r="F467" s="389"/>
      <c r="G467" s="389"/>
      <c r="H467" s="389"/>
    </row>
    <row r="468">
      <c r="A468" s="389"/>
      <c r="B468" s="389"/>
      <c r="C468" s="390"/>
      <c r="D468" s="389"/>
      <c r="E468" s="389"/>
      <c r="F468" s="389"/>
      <c r="G468" s="389"/>
      <c r="H468" s="389"/>
    </row>
    <row r="469">
      <c r="A469" s="389"/>
      <c r="B469" s="389"/>
      <c r="C469" s="390"/>
      <c r="D469" s="389"/>
      <c r="E469" s="389"/>
      <c r="F469" s="389"/>
      <c r="G469" s="389"/>
      <c r="H469" s="389"/>
    </row>
    <row r="470">
      <c r="A470" s="389"/>
      <c r="B470" s="389"/>
      <c r="C470" s="390"/>
      <c r="D470" s="389"/>
      <c r="E470" s="389"/>
      <c r="F470" s="389"/>
      <c r="G470" s="389"/>
      <c r="H470" s="389"/>
    </row>
    <row r="471">
      <c r="A471" s="389"/>
      <c r="B471" s="389"/>
      <c r="C471" s="390"/>
      <c r="D471" s="389"/>
      <c r="E471" s="389"/>
      <c r="F471" s="389"/>
      <c r="G471" s="389"/>
      <c r="H471" s="389"/>
    </row>
    <row r="472">
      <c r="A472" s="389"/>
      <c r="B472" s="389"/>
      <c r="C472" s="390"/>
      <c r="D472" s="389"/>
      <c r="E472" s="389"/>
      <c r="F472" s="389"/>
      <c r="G472" s="389"/>
      <c r="H472" s="389"/>
    </row>
    <row r="473">
      <c r="A473" s="389"/>
      <c r="B473" s="389"/>
      <c r="C473" s="390"/>
      <c r="D473" s="389"/>
      <c r="E473" s="389"/>
      <c r="F473" s="389"/>
      <c r="G473" s="389"/>
      <c r="H473" s="389"/>
    </row>
    <row r="474">
      <c r="A474" s="389"/>
      <c r="B474" s="389"/>
      <c r="C474" s="390"/>
      <c r="D474" s="389"/>
      <c r="E474" s="389"/>
      <c r="F474" s="389"/>
      <c r="G474" s="389"/>
      <c r="H474" s="389"/>
    </row>
    <row r="475">
      <c r="A475" s="389"/>
      <c r="B475" s="389"/>
      <c r="C475" s="390"/>
      <c r="D475" s="389"/>
      <c r="E475" s="389"/>
      <c r="F475" s="389"/>
      <c r="G475" s="389"/>
      <c r="H475" s="389"/>
    </row>
    <row r="476">
      <c r="A476" s="389"/>
      <c r="B476" s="389"/>
      <c r="C476" s="390"/>
      <c r="D476" s="389"/>
      <c r="E476" s="389"/>
      <c r="F476" s="389"/>
      <c r="G476" s="389"/>
      <c r="H476" s="389"/>
    </row>
    <row r="477">
      <c r="A477" s="389"/>
      <c r="B477" s="389"/>
      <c r="C477" s="390"/>
      <c r="D477" s="389"/>
      <c r="E477" s="389"/>
      <c r="F477" s="389"/>
      <c r="G477" s="389"/>
      <c r="H477" s="389"/>
    </row>
    <row r="478">
      <c r="A478" s="389"/>
      <c r="B478" s="389"/>
      <c r="C478" s="390"/>
      <c r="D478" s="389"/>
      <c r="E478" s="389"/>
      <c r="F478" s="389"/>
      <c r="G478" s="389"/>
      <c r="H478" s="389"/>
    </row>
    <row r="479">
      <c r="A479" s="389"/>
      <c r="B479" s="389"/>
      <c r="C479" s="390"/>
      <c r="D479" s="389"/>
      <c r="E479" s="389"/>
      <c r="F479" s="389"/>
      <c r="G479" s="389"/>
      <c r="H479" s="389"/>
    </row>
    <row r="480">
      <c r="A480" s="389"/>
      <c r="B480" s="389"/>
      <c r="C480" s="390"/>
      <c r="D480" s="389"/>
      <c r="E480" s="389"/>
      <c r="F480" s="389"/>
      <c r="G480" s="389"/>
      <c r="H480" s="389"/>
    </row>
    <row r="481">
      <c r="A481" s="389"/>
      <c r="B481" s="389"/>
      <c r="C481" s="390"/>
      <c r="D481" s="389"/>
      <c r="E481" s="389"/>
      <c r="F481" s="389"/>
      <c r="G481" s="389"/>
      <c r="H481" s="389"/>
    </row>
    <row r="482">
      <c r="A482" s="389"/>
      <c r="B482" s="389"/>
      <c r="C482" s="390"/>
      <c r="D482" s="389"/>
      <c r="E482" s="389"/>
      <c r="F482" s="389"/>
      <c r="G482" s="389"/>
      <c r="H482" s="389"/>
    </row>
    <row r="483">
      <c r="A483" s="389"/>
      <c r="B483" s="389"/>
      <c r="C483" s="390"/>
      <c r="D483" s="389"/>
      <c r="E483" s="389"/>
      <c r="F483" s="389"/>
      <c r="G483" s="389"/>
      <c r="H483" s="389"/>
    </row>
    <row r="484">
      <c r="A484" s="389"/>
      <c r="B484" s="389"/>
      <c r="C484" s="390"/>
      <c r="D484" s="389"/>
      <c r="E484" s="389"/>
      <c r="F484" s="389"/>
      <c r="G484" s="389"/>
      <c r="H484" s="389"/>
    </row>
    <row r="485">
      <c r="A485" s="389"/>
      <c r="B485" s="389"/>
      <c r="C485" s="390"/>
      <c r="D485" s="389"/>
      <c r="E485" s="389"/>
      <c r="F485" s="389"/>
      <c r="G485" s="389"/>
      <c r="H485" s="389"/>
    </row>
    <row r="486">
      <c r="A486" s="389"/>
      <c r="B486" s="389"/>
      <c r="C486" s="390"/>
      <c r="D486" s="389"/>
      <c r="E486" s="389"/>
      <c r="F486" s="389"/>
      <c r="G486" s="389"/>
      <c r="H486" s="389"/>
    </row>
    <row r="487">
      <c r="A487" s="389"/>
      <c r="B487" s="389"/>
      <c r="C487" s="390"/>
      <c r="D487" s="389"/>
      <c r="E487" s="389"/>
      <c r="F487" s="389"/>
      <c r="G487" s="389"/>
      <c r="H487" s="389"/>
    </row>
    <row r="488">
      <c r="A488" s="389"/>
      <c r="B488" s="389"/>
      <c r="C488" s="390"/>
      <c r="D488" s="389"/>
      <c r="E488" s="389"/>
      <c r="F488" s="389"/>
      <c r="G488" s="389"/>
      <c r="H488" s="389"/>
    </row>
    <row r="489">
      <c r="A489" s="389"/>
      <c r="B489" s="389"/>
      <c r="C489" s="390"/>
      <c r="D489" s="389"/>
      <c r="E489" s="389"/>
      <c r="F489" s="389"/>
      <c r="G489" s="389"/>
      <c r="H489" s="389"/>
    </row>
    <row r="490">
      <c r="A490" s="389"/>
      <c r="B490" s="389"/>
      <c r="C490" s="390"/>
      <c r="D490" s="389"/>
      <c r="E490" s="389"/>
      <c r="F490" s="389"/>
      <c r="G490" s="389"/>
      <c r="H490" s="389"/>
    </row>
    <row r="491">
      <c r="A491" s="389"/>
      <c r="B491" s="389"/>
      <c r="C491" s="390"/>
      <c r="D491" s="389"/>
      <c r="E491" s="389"/>
      <c r="F491" s="389"/>
      <c r="G491" s="389"/>
      <c r="H491" s="389"/>
    </row>
    <row r="492">
      <c r="A492" s="389"/>
      <c r="B492" s="389"/>
      <c r="C492" s="390"/>
      <c r="D492" s="389"/>
      <c r="E492" s="389"/>
      <c r="F492" s="389"/>
      <c r="G492" s="389"/>
      <c r="H492" s="389"/>
    </row>
    <row r="493">
      <c r="A493" s="389"/>
      <c r="B493" s="389"/>
      <c r="C493" s="390"/>
      <c r="D493" s="389"/>
      <c r="E493" s="389"/>
      <c r="F493" s="389"/>
      <c r="G493" s="389"/>
      <c r="H493" s="389"/>
    </row>
    <row r="494">
      <c r="A494" s="389"/>
      <c r="B494" s="389"/>
      <c r="C494" s="390"/>
      <c r="D494" s="389"/>
      <c r="E494" s="389"/>
      <c r="F494" s="389"/>
      <c r="G494" s="389"/>
      <c r="H494" s="389"/>
    </row>
    <row r="495">
      <c r="A495" s="389"/>
      <c r="B495" s="389"/>
      <c r="C495" s="390"/>
      <c r="D495" s="389"/>
      <c r="E495" s="389"/>
      <c r="F495" s="389"/>
      <c r="G495" s="389"/>
      <c r="H495" s="389"/>
    </row>
    <row r="496">
      <c r="A496" s="389"/>
      <c r="B496" s="389"/>
      <c r="C496" s="390"/>
      <c r="D496" s="389"/>
      <c r="E496" s="389"/>
      <c r="F496" s="389"/>
      <c r="G496" s="389"/>
      <c r="H496" s="389"/>
    </row>
    <row r="497">
      <c r="A497" s="389"/>
      <c r="B497" s="389"/>
      <c r="C497" s="390"/>
      <c r="D497" s="389"/>
      <c r="E497" s="389"/>
      <c r="F497" s="389"/>
      <c r="G497" s="389"/>
      <c r="H497" s="389"/>
    </row>
    <row r="498">
      <c r="A498" s="389"/>
      <c r="B498" s="389"/>
      <c r="C498" s="390"/>
      <c r="D498" s="389"/>
      <c r="E498" s="389"/>
      <c r="F498" s="389"/>
      <c r="G498" s="389"/>
      <c r="H498" s="389"/>
    </row>
    <row r="499">
      <c r="A499" s="389"/>
      <c r="B499" s="389"/>
      <c r="C499" s="390"/>
      <c r="D499" s="389"/>
      <c r="E499" s="389"/>
      <c r="F499" s="389"/>
      <c r="G499" s="389"/>
      <c r="H499" s="389"/>
    </row>
    <row r="500">
      <c r="A500" s="389"/>
      <c r="B500" s="389"/>
      <c r="C500" s="390"/>
      <c r="D500" s="389"/>
      <c r="E500" s="389"/>
      <c r="F500" s="389"/>
      <c r="G500" s="389"/>
      <c r="H500" s="389"/>
    </row>
    <row r="501">
      <c r="A501" s="389"/>
      <c r="B501" s="389"/>
      <c r="C501" s="390"/>
      <c r="D501" s="389"/>
      <c r="E501" s="389"/>
      <c r="F501" s="389"/>
      <c r="G501" s="389"/>
      <c r="H501" s="389"/>
    </row>
    <row r="502">
      <c r="A502" s="389"/>
      <c r="B502" s="389"/>
      <c r="C502" s="390"/>
      <c r="D502" s="389"/>
      <c r="E502" s="389"/>
      <c r="F502" s="389"/>
      <c r="G502" s="389"/>
      <c r="H502" s="389"/>
    </row>
    <row r="503">
      <c r="A503" s="389"/>
      <c r="B503" s="389"/>
      <c r="C503" s="390"/>
      <c r="D503" s="389"/>
      <c r="E503" s="389"/>
      <c r="F503" s="389"/>
      <c r="G503" s="389"/>
      <c r="H503" s="389"/>
    </row>
    <row r="504">
      <c r="A504" s="389"/>
      <c r="B504" s="389"/>
      <c r="C504" s="390"/>
      <c r="D504" s="389"/>
      <c r="E504" s="389"/>
      <c r="F504" s="389"/>
      <c r="G504" s="389"/>
      <c r="H504" s="389"/>
    </row>
    <row r="505">
      <c r="A505" s="389"/>
      <c r="B505" s="389"/>
      <c r="C505" s="390"/>
      <c r="D505" s="389"/>
      <c r="E505" s="389"/>
      <c r="F505" s="389"/>
      <c r="G505" s="389"/>
      <c r="H505" s="389"/>
    </row>
    <row r="506">
      <c r="A506" s="389"/>
      <c r="B506" s="389"/>
      <c r="C506" s="390"/>
      <c r="D506" s="389"/>
      <c r="E506" s="389"/>
      <c r="F506" s="389"/>
      <c r="G506" s="389"/>
      <c r="H506" s="389"/>
    </row>
    <row r="507">
      <c r="A507" s="389"/>
      <c r="B507" s="389"/>
      <c r="C507" s="390"/>
      <c r="D507" s="389"/>
      <c r="E507" s="389"/>
      <c r="F507" s="389"/>
      <c r="G507" s="389"/>
      <c r="H507" s="389"/>
    </row>
    <row r="508">
      <c r="A508" s="389"/>
      <c r="B508" s="389"/>
      <c r="C508" s="390"/>
      <c r="D508" s="389"/>
      <c r="E508" s="389"/>
      <c r="F508" s="389"/>
      <c r="G508" s="389"/>
      <c r="H508" s="389"/>
    </row>
    <row r="509">
      <c r="A509" s="389"/>
      <c r="B509" s="389"/>
      <c r="C509" s="390"/>
      <c r="D509" s="389"/>
      <c r="E509" s="389"/>
      <c r="F509" s="389"/>
      <c r="G509" s="389"/>
      <c r="H509" s="389"/>
    </row>
    <row r="510">
      <c r="A510" s="389"/>
      <c r="B510" s="389"/>
      <c r="C510" s="390"/>
      <c r="D510" s="389"/>
      <c r="E510" s="389"/>
      <c r="F510" s="389"/>
      <c r="G510" s="389"/>
      <c r="H510" s="389"/>
    </row>
    <row r="511">
      <c r="A511" s="389"/>
      <c r="B511" s="389"/>
      <c r="C511" s="390"/>
      <c r="D511" s="389"/>
      <c r="E511" s="389"/>
      <c r="F511" s="389"/>
      <c r="G511" s="389"/>
      <c r="H511" s="389"/>
    </row>
    <row r="512">
      <c r="A512" s="389"/>
      <c r="B512" s="389"/>
      <c r="C512" s="390"/>
      <c r="D512" s="389"/>
      <c r="E512" s="389"/>
      <c r="F512" s="389"/>
      <c r="G512" s="389"/>
      <c r="H512" s="389"/>
    </row>
    <row r="513">
      <c r="A513" s="389"/>
      <c r="B513" s="389"/>
      <c r="C513" s="390"/>
      <c r="D513" s="389"/>
      <c r="E513" s="389"/>
      <c r="F513" s="389"/>
      <c r="G513" s="389"/>
      <c r="H513" s="389"/>
    </row>
    <row r="514">
      <c r="A514" s="389"/>
      <c r="B514" s="389"/>
      <c r="C514" s="390"/>
      <c r="D514" s="389"/>
      <c r="E514" s="389"/>
      <c r="F514" s="389"/>
      <c r="G514" s="389"/>
      <c r="H514" s="389"/>
    </row>
    <row r="515">
      <c r="A515" s="389"/>
      <c r="B515" s="389"/>
      <c r="C515" s="390"/>
      <c r="D515" s="389"/>
      <c r="E515" s="389"/>
      <c r="F515" s="389"/>
      <c r="G515" s="389"/>
      <c r="H515" s="389"/>
    </row>
    <row r="516">
      <c r="A516" s="389"/>
      <c r="B516" s="389"/>
      <c r="C516" s="390"/>
      <c r="D516" s="389"/>
      <c r="E516" s="389"/>
      <c r="F516" s="389"/>
      <c r="G516" s="389"/>
      <c r="H516" s="389"/>
    </row>
    <row r="517">
      <c r="A517" s="389"/>
      <c r="B517" s="389"/>
      <c r="C517" s="390"/>
      <c r="D517" s="389"/>
      <c r="E517" s="389"/>
      <c r="F517" s="389"/>
      <c r="G517" s="389"/>
      <c r="H517" s="389"/>
    </row>
    <row r="518">
      <c r="A518" s="389"/>
      <c r="B518" s="389"/>
      <c r="C518" s="390"/>
      <c r="D518" s="389"/>
      <c r="E518" s="389"/>
      <c r="F518" s="389"/>
      <c r="G518" s="389"/>
      <c r="H518" s="389"/>
    </row>
    <row r="519">
      <c r="A519" s="389"/>
      <c r="B519" s="389"/>
      <c r="C519" s="390"/>
      <c r="D519" s="389"/>
      <c r="E519" s="389"/>
      <c r="F519" s="389"/>
      <c r="G519" s="389"/>
      <c r="H519" s="389"/>
    </row>
    <row r="520">
      <c r="A520" s="389"/>
      <c r="B520" s="389"/>
      <c r="C520" s="390"/>
      <c r="D520" s="389"/>
      <c r="E520" s="389"/>
      <c r="F520" s="389"/>
      <c r="G520" s="389"/>
      <c r="H520" s="389"/>
    </row>
    <row r="521">
      <c r="A521" s="389"/>
      <c r="B521" s="389"/>
      <c r="C521" s="390"/>
      <c r="D521" s="389"/>
      <c r="E521" s="389"/>
      <c r="F521" s="389"/>
      <c r="G521" s="389"/>
      <c r="H521" s="389"/>
    </row>
    <row r="522">
      <c r="A522" s="389"/>
      <c r="B522" s="389"/>
      <c r="C522" s="390"/>
      <c r="D522" s="389"/>
      <c r="E522" s="389"/>
      <c r="F522" s="389"/>
      <c r="G522" s="389"/>
      <c r="H522" s="389"/>
    </row>
    <row r="523">
      <c r="A523" s="389"/>
      <c r="B523" s="389"/>
      <c r="C523" s="390"/>
      <c r="D523" s="389"/>
      <c r="E523" s="389"/>
      <c r="F523" s="389"/>
      <c r="G523" s="389"/>
      <c r="H523" s="389"/>
    </row>
    <row r="524">
      <c r="A524" s="389"/>
      <c r="B524" s="389"/>
      <c r="C524" s="390"/>
      <c r="D524" s="389"/>
      <c r="E524" s="389"/>
      <c r="F524" s="389"/>
      <c r="G524" s="389"/>
      <c r="H524" s="389"/>
    </row>
    <row r="525">
      <c r="A525" s="389"/>
      <c r="B525" s="389"/>
      <c r="C525" s="390"/>
      <c r="D525" s="389"/>
      <c r="E525" s="389"/>
      <c r="F525" s="389"/>
      <c r="G525" s="389"/>
      <c r="H525" s="389"/>
    </row>
    <row r="526">
      <c r="A526" s="389"/>
      <c r="B526" s="389"/>
      <c r="C526" s="390"/>
      <c r="D526" s="389"/>
      <c r="E526" s="389"/>
      <c r="F526" s="389"/>
      <c r="G526" s="389"/>
      <c r="H526" s="389"/>
    </row>
    <row r="527">
      <c r="A527" s="389"/>
      <c r="B527" s="389"/>
      <c r="C527" s="390"/>
      <c r="D527" s="389"/>
      <c r="E527" s="389"/>
      <c r="F527" s="389"/>
      <c r="G527" s="389"/>
      <c r="H527" s="389"/>
    </row>
    <row r="528">
      <c r="A528" s="389"/>
      <c r="B528" s="389"/>
      <c r="C528" s="390"/>
      <c r="D528" s="389"/>
      <c r="E528" s="389"/>
      <c r="F528" s="389"/>
      <c r="G528" s="389"/>
      <c r="H528" s="389"/>
    </row>
    <row r="529">
      <c r="A529" s="389"/>
      <c r="B529" s="389"/>
      <c r="C529" s="390"/>
      <c r="D529" s="389"/>
      <c r="E529" s="389"/>
      <c r="F529" s="389"/>
      <c r="G529" s="389"/>
      <c r="H529" s="389"/>
    </row>
    <row r="530">
      <c r="A530" s="389"/>
      <c r="B530" s="389"/>
      <c r="C530" s="390"/>
      <c r="D530" s="389"/>
      <c r="E530" s="389"/>
      <c r="F530" s="389"/>
      <c r="G530" s="389"/>
      <c r="H530" s="389"/>
    </row>
    <row r="531">
      <c r="A531" s="389"/>
      <c r="B531" s="389"/>
      <c r="C531" s="390"/>
      <c r="D531" s="389"/>
      <c r="E531" s="389"/>
      <c r="F531" s="389"/>
      <c r="G531" s="389"/>
      <c r="H531" s="389"/>
    </row>
    <row r="532">
      <c r="A532" s="389"/>
      <c r="B532" s="389"/>
      <c r="C532" s="390"/>
      <c r="D532" s="389"/>
      <c r="E532" s="389"/>
      <c r="F532" s="389"/>
      <c r="G532" s="389"/>
      <c r="H532" s="389"/>
    </row>
    <row r="533">
      <c r="A533" s="389"/>
      <c r="B533" s="389"/>
      <c r="C533" s="390"/>
      <c r="D533" s="389"/>
      <c r="E533" s="389"/>
      <c r="F533" s="389"/>
      <c r="G533" s="389"/>
      <c r="H533" s="389"/>
    </row>
    <row r="534">
      <c r="A534" s="389"/>
      <c r="B534" s="389"/>
      <c r="C534" s="390"/>
      <c r="D534" s="389"/>
      <c r="E534" s="389"/>
      <c r="F534" s="389"/>
      <c r="G534" s="389"/>
      <c r="H534" s="389"/>
    </row>
    <row r="535">
      <c r="A535" s="389"/>
      <c r="B535" s="389"/>
      <c r="C535" s="390"/>
      <c r="D535" s="389"/>
      <c r="E535" s="389"/>
      <c r="F535" s="389"/>
      <c r="G535" s="389"/>
      <c r="H535" s="389"/>
    </row>
    <row r="536">
      <c r="A536" s="389"/>
      <c r="B536" s="389"/>
      <c r="C536" s="390"/>
      <c r="D536" s="389"/>
      <c r="E536" s="389"/>
      <c r="F536" s="389"/>
      <c r="G536" s="389"/>
      <c r="H536" s="389"/>
    </row>
    <row r="537">
      <c r="A537" s="389"/>
      <c r="B537" s="389"/>
      <c r="C537" s="390"/>
      <c r="D537" s="389"/>
      <c r="E537" s="389"/>
      <c r="F537" s="389"/>
      <c r="G537" s="389"/>
      <c r="H537" s="389"/>
    </row>
    <row r="538">
      <c r="A538" s="389"/>
      <c r="B538" s="389"/>
      <c r="C538" s="390"/>
      <c r="D538" s="389"/>
      <c r="E538" s="389"/>
      <c r="F538" s="389"/>
      <c r="G538" s="389"/>
      <c r="H538" s="389"/>
    </row>
    <row r="539">
      <c r="A539" s="389"/>
      <c r="B539" s="389"/>
      <c r="C539" s="390"/>
      <c r="D539" s="389"/>
      <c r="E539" s="389"/>
      <c r="F539" s="389"/>
      <c r="G539" s="389"/>
      <c r="H539" s="389"/>
    </row>
    <row r="540">
      <c r="A540" s="389"/>
      <c r="B540" s="389"/>
      <c r="C540" s="390"/>
      <c r="D540" s="389"/>
      <c r="E540" s="389"/>
      <c r="F540" s="389"/>
      <c r="G540" s="389"/>
      <c r="H540" s="389"/>
    </row>
    <row r="541">
      <c r="A541" s="389"/>
      <c r="B541" s="389"/>
      <c r="C541" s="390"/>
      <c r="D541" s="389"/>
      <c r="E541" s="389"/>
      <c r="F541" s="389"/>
      <c r="G541" s="389"/>
      <c r="H541" s="389"/>
    </row>
    <row r="542">
      <c r="A542" s="389"/>
      <c r="B542" s="389"/>
      <c r="C542" s="390"/>
      <c r="D542" s="389"/>
      <c r="E542" s="389"/>
      <c r="F542" s="389"/>
      <c r="G542" s="389"/>
      <c r="H542" s="389"/>
    </row>
    <row r="543">
      <c r="A543" s="389"/>
      <c r="B543" s="389"/>
      <c r="C543" s="390"/>
      <c r="D543" s="389"/>
      <c r="E543" s="389"/>
      <c r="F543" s="389"/>
      <c r="G543" s="389"/>
      <c r="H543" s="389"/>
    </row>
    <row r="544">
      <c r="A544" s="389"/>
      <c r="B544" s="389"/>
      <c r="C544" s="390"/>
      <c r="D544" s="389"/>
      <c r="E544" s="389"/>
      <c r="F544" s="389"/>
      <c r="G544" s="389"/>
      <c r="H544" s="389"/>
    </row>
    <row r="545">
      <c r="A545" s="389"/>
      <c r="B545" s="389"/>
      <c r="C545" s="390"/>
      <c r="D545" s="389"/>
      <c r="E545" s="389"/>
      <c r="F545" s="389"/>
      <c r="G545" s="389"/>
      <c r="H545" s="389"/>
    </row>
    <row r="546">
      <c r="A546" s="389"/>
      <c r="B546" s="389"/>
      <c r="C546" s="390"/>
      <c r="D546" s="389"/>
      <c r="E546" s="389"/>
      <c r="F546" s="389"/>
      <c r="G546" s="389"/>
      <c r="H546" s="389"/>
    </row>
    <row r="547">
      <c r="A547" s="389"/>
      <c r="B547" s="389"/>
      <c r="C547" s="390"/>
      <c r="D547" s="389"/>
      <c r="E547" s="389"/>
      <c r="F547" s="389"/>
      <c r="G547" s="389"/>
      <c r="H547" s="389"/>
    </row>
    <row r="548">
      <c r="A548" s="389"/>
      <c r="B548" s="389"/>
      <c r="C548" s="390"/>
      <c r="D548" s="389"/>
      <c r="E548" s="389"/>
      <c r="F548" s="389"/>
      <c r="G548" s="389"/>
      <c r="H548" s="389"/>
    </row>
    <row r="549">
      <c r="A549" s="389"/>
      <c r="B549" s="389"/>
      <c r="C549" s="390"/>
      <c r="D549" s="389"/>
      <c r="E549" s="389"/>
      <c r="F549" s="389"/>
      <c r="G549" s="389"/>
      <c r="H549" s="389"/>
    </row>
    <row r="550">
      <c r="A550" s="389"/>
      <c r="B550" s="389"/>
      <c r="C550" s="390"/>
      <c r="D550" s="389"/>
      <c r="E550" s="389"/>
      <c r="F550" s="389"/>
      <c r="G550" s="389"/>
      <c r="H550" s="389"/>
    </row>
    <row r="551">
      <c r="A551" s="389"/>
      <c r="B551" s="389"/>
      <c r="C551" s="390"/>
      <c r="D551" s="389"/>
      <c r="E551" s="389"/>
      <c r="F551" s="389"/>
      <c r="G551" s="389"/>
      <c r="H551" s="389"/>
    </row>
    <row r="552">
      <c r="A552" s="389"/>
      <c r="B552" s="389"/>
      <c r="C552" s="390"/>
      <c r="D552" s="389"/>
      <c r="E552" s="389"/>
      <c r="F552" s="389"/>
      <c r="G552" s="389"/>
      <c r="H552" s="389"/>
    </row>
    <row r="553">
      <c r="A553" s="389"/>
      <c r="B553" s="389"/>
      <c r="C553" s="390"/>
      <c r="D553" s="389"/>
      <c r="E553" s="389"/>
      <c r="F553" s="389"/>
      <c r="G553" s="389"/>
      <c r="H553" s="389"/>
    </row>
    <row r="554">
      <c r="A554" s="389"/>
      <c r="B554" s="389"/>
      <c r="C554" s="390"/>
      <c r="D554" s="389"/>
      <c r="E554" s="389"/>
      <c r="F554" s="389"/>
      <c r="G554" s="389"/>
      <c r="H554" s="389"/>
    </row>
    <row r="555">
      <c r="A555" s="389"/>
      <c r="B555" s="389"/>
      <c r="C555" s="390"/>
      <c r="D555" s="389"/>
      <c r="E555" s="389"/>
      <c r="F555" s="389"/>
      <c r="G555" s="389"/>
      <c r="H555" s="389"/>
    </row>
    <row r="556">
      <c r="A556" s="389"/>
      <c r="B556" s="389"/>
      <c r="C556" s="390"/>
      <c r="D556" s="389"/>
      <c r="E556" s="389"/>
      <c r="F556" s="389"/>
      <c r="G556" s="389"/>
      <c r="H556" s="389"/>
    </row>
    <row r="557">
      <c r="A557" s="389"/>
      <c r="B557" s="389"/>
      <c r="C557" s="390"/>
      <c r="D557" s="389"/>
      <c r="E557" s="389"/>
      <c r="F557" s="389"/>
      <c r="G557" s="389"/>
      <c r="H557" s="389"/>
    </row>
    <row r="558">
      <c r="A558" s="389"/>
      <c r="B558" s="389"/>
      <c r="C558" s="390"/>
      <c r="D558" s="389"/>
      <c r="E558" s="389"/>
      <c r="F558" s="389"/>
      <c r="G558" s="389"/>
      <c r="H558" s="389"/>
    </row>
    <row r="559">
      <c r="A559" s="389"/>
      <c r="B559" s="389"/>
      <c r="C559" s="390"/>
      <c r="D559" s="389"/>
      <c r="E559" s="389"/>
      <c r="F559" s="389"/>
      <c r="G559" s="389"/>
      <c r="H559" s="389"/>
    </row>
    <row r="560">
      <c r="A560" s="389"/>
      <c r="B560" s="389"/>
      <c r="C560" s="390"/>
      <c r="D560" s="389"/>
      <c r="E560" s="389"/>
      <c r="F560" s="389"/>
      <c r="G560" s="389"/>
      <c r="H560" s="389"/>
    </row>
    <row r="561">
      <c r="A561" s="389"/>
      <c r="B561" s="389"/>
      <c r="C561" s="390"/>
      <c r="D561" s="389"/>
      <c r="E561" s="389"/>
      <c r="F561" s="389"/>
      <c r="G561" s="389"/>
      <c r="H561" s="389"/>
    </row>
    <row r="562">
      <c r="A562" s="389"/>
      <c r="B562" s="389"/>
      <c r="C562" s="390"/>
      <c r="D562" s="389"/>
      <c r="E562" s="389"/>
      <c r="F562" s="389"/>
      <c r="G562" s="389"/>
      <c r="H562" s="389"/>
    </row>
    <row r="563">
      <c r="A563" s="389"/>
      <c r="B563" s="389"/>
      <c r="C563" s="390"/>
      <c r="D563" s="389"/>
      <c r="E563" s="389"/>
      <c r="F563" s="389"/>
      <c r="G563" s="389"/>
      <c r="H563" s="389"/>
    </row>
    <row r="564">
      <c r="A564" s="389"/>
      <c r="B564" s="389"/>
      <c r="C564" s="390"/>
      <c r="D564" s="389"/>
      <c r="E564" s="389"/>
      <c r="F564" s="389"/>
      <c r="G564" s="389"/>
      <c r="H564" s="389"/>
    </row>
    <row r="565">
      <c r="A565" s="389"/>
      <c r="B565" s="389"/>
      <c r="C565" s="390"/>
      <c r="D565" s="389"/>
      <c r="E565" s="389"/>
      <c r="F565" s="389"/>
      <c r="G565" s="389"/>
      <c r="H565" s="389"/>
    </row>
    <row r="566">
      <c r="A566" s="389"/>
      <c r="B566" s="389"/>
      <c r="C566" s="390"/>
      <c r="D566" s="389"/>
      <c r="E566" s="389"/>
      <c r="F566" s="389"/>
      <c r="G566" s="389"/>
      <c r="H566" s="389"/>
    </row>
    <row r="567">
      <c r="A567" s="389"/>
      <c r="B567" s="389"/>
      <c r="C567" s="390"/>
      <c r="D567" s="389"/>
      <c r="E567" s="389"/>
      <c r="F567" s="389"/>
      <c r="G567" s="389"/>
      <c r="H567" s="389"/>
    </row>
    <row r="568">
      <c r="A568" s="389"/>
      <c r="B568" s="389"/>
      <c r="C568" s="390"/>
      <c r="D568" s="389"/>
      <c r="E568" s="389"/>
      <c r="F568" s="389"/>
      <c r="G568" s="389"/>
      <c r="H568" s="389"/>
    </row>
    <row r="569">
      <c r="A569" s="389"/>
      <c r="B569" s="389"/>
      <c r="C569" s="390"/>
      <c r="D569" s="389"/>
      <c r="E569" s="389"/>
      <c r="F569" s="389"/>
      <c r="G569" s="389"/>
      <c r="H569" s="389"/>
    </row>
    <row r="570">
      <c r="A570" s="389"/>
      <c r="B570" s="389"/>
      <c r="C570" s="390"/>
      <c r="D570" s="389"/>
      <c r="E570" s="389"/>
      <c r="F570" s="389"/>
      <c r="G570" s="389"/>
      <c r="H570" s="389"/>
    </row>
    <row r="571">
      <c r="A571" s="389"/>
      <c r="B571" s="389"/>
      <c r="C571" s="390"/>
      <c r="D571" s="389"/>
      <c r="E571" s="389"/>
      <c r="F571" s="389"/>
      <c r="G571" s="389"/>
      <c r="H571" s="389"/>
    </row>
    <row r="572">
      <c r="A572" s="389"/>
      <c r="B572" s="389"/>
      <c r="C572" s="390"/>
      <c r="D572" s="389"/>
      <c r="E572" s="389"/>
      <c r="F572" s="389"/>
      <c r="G572" s="389"/>
      <c r="H572" s="389"/>
    </row>
    <row r="573">
      <c r="A573" s="389"/>
      <c r="B573" s="389"/>
      <c r="C573" s="390"/>
      <c r="D573" s="389"/>
      <c r="E573" s="389"/>
      <c r="F573" s="389"/>
      <c r="G573" s="389"/>
      <c r="H573" s="389"/>
    </row>
    <row r="574">
      <c r="A574" s="389"/>
      <c r="B574" s="389"/>
      <c r="C574" s="390"/>
      <c r="D574" s="389"/>
      <c r="E574" s="389"/>
      <c r="F574" s="389"/>
      <c r="G574" s="389"/>
      <c r="H574" s="389"/>
    </row>
    <row r="575">
      <c r="A575" s="389"/>
      <c r="B575" s="389"/>
      <c r="C575" s="390"/>
      <c r="D575" s="389"/>
      <c r="E575" s="389"/>
      <c r="F575" s="389"/>
      <c r="G575" s="389"/>
      <c r="H575" s="389"/>
    </row>
    <row r="576">
      <c r="A576" s="389"/>
      <c r="B576" s="389"/>
      <c r="C576" s="390"/>
      <c r="D576" s="389"/>
      <c r="E576" s="389"/>
      <c r="F576" s="389"/>
      <c r="G576" s="389"/>
      <c r="H576" s="389"/>
    </row>
    <row r="577">
      <c r="A577" s="389"/>
      <c r="B577" s="389"/>
      <c r="C577" s="390"/>
      <c r="D577" s="389"/>
      <c r="E577" s="389"/>
      <c r="F577" s="389"/>
      <c r="G577" s="389"/>
      <c r="H577" s="389"/>
    </row>
    <row r="578">
      <c r="A578" s="389"/>
      <c r="B578" s="389"/>
      <c r="C578" s="390"/>
      <c r="D578" s="389"/>
      <c r="E578" s="389"/>
      <c r="F578" s="389"/>
      <c r="G578" s="389"/>
      <c r="H578" s="389"/>
    </row>
    <row r="579">
      <c r="A579" s="389"/>
      <c r="B579" s="389"/>
      <c r="C579" s="390"/>
      <c r="D579" s="389"/>
      <c r="E579" s="389"/>
      <c r="F579" s="389"/>
      <c r="G579" s="389"/>
      <c r="H579" s="389"/>
    </row>
    <row r="580">
      <c r="A580" s="389"/>
      <c r="B580" s="389"/>
      <c r="C580" s="390"/>
      <c r="D580" s="389"/>
      <c r="E580" s="389"/>
      <c r="F580" s="389"/>
      <c r="G580" s="389"/>
      <c r="H580" s="389"/>
    </row>
    <row r="581">
      <c r="A581" s="389"/>
      <c r="B581" s="389"/>
      <c r="C581" s="390"/>
      <c r="D581" s="389"/>
      <c r="E581" s="389"/>
      <c r="F581" s="389"/>
      <c r="G581" s="389"/>
      <c r="H581" s="389"/>
    </row>
    <row r="582">
      <c r="A582" s="389"/>
      <c r="B582" s="389"/>
      <c r="C582" s="390"/>
      <c r="D582" s="389"/>
      <c r="E582" s="389"/>
      <c r="F582" s="389"/>
      <c r="G582" s="389"/>
      <c r="H582" s="389"/>
    </row>
    <row r="583">
      <c r="A583" s="389"/>
      <c r="B583" s="389"/>
      <c r="C583" s="390"/>
      <c r="D583" s="389"/>
      <c r="E583" s="389"/>
      <c r="F583" s="389"/>
      <c r="G583" s="389"/>
      <c r="H583" s="389"/>
    </row>
    <row r="584">
      <c r="A584" s="389"/>
      <c r="B584" s="389"/>
      <c r="C584" s="390"/>
      <c r="D584" s="389"/>
      <c r="E584" s="389"/>
      <c r="F584" s="389"/>
      <c r="G584" s="389"/>
      <c r="H584" s="389"/>
    </row>
    <row r="585">
      <c r="A585" s="389"/>
      <c r="B585" s="389"/>
      <c r="C585" s="390"/>
      <c r="D585" s="389"/>
      <c r="E585" s="389"/>
      <c r="F585" s="389"/>
      <c r="G585" s="389"/>
      <c r="H585" s="389"/>
    </row>
    <row r="586">
      <c r="A586" s="389"/>
      <c r="B586" s="389"/>
      <c r="C586" s="390"/>
      <c r="D586" s="389"/>
      <c r="E586" s="389"/>
      <c r="F586" s="389"/>
      <c r="G586" s="389"/>
      <c r="H586" s="389"/>
    </row>
    <row r="587">
      <c r="A587" s="389"/>
      <c r="B587" s="389"/>
      <c r="C587" s="390"/>
      <c r="D587" s="389"/>
      <c r="E587" s="389"/>
      <c r="F587" s="389"/>
      <c r="G587" s="389"/>
      <c r="H587" s="389"/>
    </row>
    <row r="588">
      <c r="A588" s="389"/>
      <c r="B588" s="389"/>
      <c r="C588" s="390"/>
      <c r="D588" s="389"/>
      <c r="E588" s="389"/>
      <c r="F588" s="389"/>
      <c r="G588" s="389"/>
      <c r="H588" s="389"/>
    </row>
    <row r="589">
      <c r="A589" s="389"/>
      <c r="B589" s="389"/>
      <c r="C589" s="390"/>
      <c r="D589" s="389"/>
      <c r="E589" s="389"/>
      <c r="F589" s="389"/>
      <c r="G589" s="389"/>
      <c r="H589" s="389"/>
    </row>
    <row r="590">
      <c r="A590" s="389"/>
      <c r="B590" s="389"/>
      <c r="C590" s="390"/>
      <c r="D590" s="389"/>
      <c r="E590" s="389"/>
      <c r="F590" s="389"/>
      <c r="G590" s="389"/>
      <c r="H590" s="389"/>
    </row>
    <row r="591">
      <c r="A591" s="389"/>
      <c r="B591" s="389"/>
      <c r="C591" s="390"/>
      <c r="D591" s="389"/>
      <c r="E591" s="389"/>
      <c r="F591" s="389"/>
      <c r="G591" s="389"/>
      <c r="H591" s="389"/>
    </row>
    <row r="592">
      <c r="A592" s="389"/>
      <c r="B592" s="389"/>
      <c r="C592" s="390"/>
      <c r="D592" s="389"/>
      <c r="E592" s="389"/>
      <c r="F592" s="389"/>
      <c r="G592" s="389"/>
      <c r="H592" s="389"/>
    </row>
    <row r="593">
      <c r="A593" s="389"/>
      <c r="B593" s="389"/>
      <c r="C593" s="390"/>
      <c r="D593" s="389"/>
      <c r="E593" s="389"/>
      <c r="F593" s="389"/>
      <c r="G593" s="389"/>
      <c r="H593" s="389"/>
    </row>
    <row r="594">
      <c r="A594" s="389"/>
      <c r="B594" s="389"/>
      <c r="C594" s="390"/>
      <c r="D594" s="389"/>
      <c r="E594" s="389"/>
      <c r="F594" s="389"/>
      <c r="G594" s="389"/>
      <c r="H594" s="389"/>
    </row>
    <row r="595">
      <c r="A595" s="389"/>
      <c r="B595" s="389"/>
      <c r="C595" s="390"/>
      <c r="D595" s="389"/>
      <c r="E595" s="389"/>
      <c r="F595" s="389"/>
      <c r="G595" s="389"/>
      <c r="H595" s="389"/>
    </row>
    <row r="596">
      <c r="A596" s="389"/>
      <c r="B596" s="389"/>
      <c r="C596" s="390"/>
      <c r="D596" s="389"/>
      <c r="E596" s="389"/>
      <c r="F596" s="389"/>
      <c r="G596" s="389"/>
      <c r="H596" s="389"/>
    </row>
    <row r="597">
      <c r="A597" s="389"/>
      <c r="B597" s="389"/>
      <c r="C597" s="390"/>
      <c r="D597" s="389"/>
      <c r="E597" s="389"/>
      <c r="F597" s="389"/>
      <c r="G597" s="389"/>
      <c r="H597" s="389"/>
    </row>
    <row r="598">
      <c r="A598" s="389"/>
      <c r="B598" s="389"/>
      <c r="C598" s="390"/>
      <c r="D598" s="389"/>
      <c r="E598" s="389"/>
      <c r="F598" s="389"/>
      <c r="G598" s="389"/>
      <c r="H598" s="389"/>
    </row>
    <row r="599">
      <c r="A599" s="389"/>
      <c r="B599" s="389"/>
      <c r="C599" s="390"/>
      <c r="D599" s="389"/>
      <c r="E599" s="389"/>
      <c r="F599" s="389"/>
      <c r="G599" s="389"/>
      <c r="H599" s="389"/>
    </row>
    <row r="600">
      <c r="A600" s="389"/>
      <c r="B600" s="389"/>
      <c r="C600" s="390"/>
      <c r="D600" s="389"/>
      <c r="E600" s="389"/>
      <c r="F600" s="389"/>
      <c r="G600" s="389"/>
      <c r="H600" s="389"/>
    </row>
    <row r="601">
      <c r="A601" s="389"/>
      <c r="B601" s="389"/>
      <c r="C601" s="390"/>
      <c r="D601" s="389"/>
      <c r="E601" s="389"/>
      <c r="F601" s="389"/>
      <c r="G601" s="389"/>
      <c r="H601" s="389"/>
    </row>
    <row r="602">
      <c r="A602" s="389"/>
      <c r="B602" s="389"/>
      <c r="C602" s="390"/>
      <c r="D602" s="389"/>
      <c r="E602" s="389"/>
      <c r="F602" s="389"/>
      <c r="G602" s="389"/>
      <c r="H602" s="389"/>
    </row>
    <row r="603">
      <c r="A603" s="389"/>
      <c r="B603" s="389"/>
      <c r="C603" s="390"/>
      <c r="D603" s="389"/>
      <c r="E603" s="389"/>
      <c r="F603" s="389"/>
      <c r="G603" s="389"/>
      <c r="H603" s="389"/>
    </row>
    <row r="604">
      <c r="A604" s="389"/>
      <c r="B604" s="389"/>
      <c r="C604" s="390"/>
      <c r="D604" s="389"/>
      <c r="E604" s="389"/>
      <c r="F604" s="389"/>
      <c r="G604" s="389"/>
      <c r="H604" s="389"/>
    </row>
    <row r="605">
      <c r="A605" s="389"/>
      <c r="B605" s="389"/>
      <c r="C605" s="390"/>
      <c r="D605" s="389"/>
      <c r="E605" s="389"/>
      <c r="F605" s="389"/>
      <c r="G605" s="389"/>
      <c r="H605" s="389"/>
    </row>
    <row r="606">
      <c r="A606" s="389"/>
      <c r="B606" s="389"/>
      <c r="C606" s="390"/>
      <c r="D606" s="389"/>
      <c r="E606" s="389"/>
      <c r="F606" s="389"/>
      <c r="G606" s="389"/>
      <c r="H606" s="389"/>
    </row>
    <row r="607">
      <c r="A607" s="389"/>
      <c r="B607" s="389"/>
      <c r="C607" s="390"/>
      <c r="D607" s="389"/>
      <c r="E607" s="389"/>
      <c r="F607" s="389"/>
      <c r="G607" s="389"/>
      <c r="H607" s="389"/>
    </row>
    <row r="608">
      <c r="A608" s="389"/>
      <c r="B608" s="389"/>
      <c r="C608" s="390"/>
      <c r="D608" s="389"/>
      <c r="E608" s="389"/>
      <c r="F608" s="389"/>
      <c r="G608" s="389"/>
      <c r="H608" s="389"/>
    </row>
    <row r="609">
      <c r="A609" s="389"/>
      <c r="B609" s="389"/>
      <c r="C609" s="390"/>
      <c r="D609" s="389"/>
      <c r="E609" s="389"/>
      <c r="F609" s="389"/>
      <c r="G609" s="389"/>
      <c r="H609" s="389"/>
    </row>
    <row r="610">
      <c r="A610" s="389"/>
      <c r="B610" s="389"/>
      <c r="C610" s="390"/>
      <c r="D610" s="389"/>
      <c r="E610" s="389"/>
      <c r="F610" s="389"/>
      <c r="G610" s="389"/>
      <c r="H610" s="389"/>
    </row>
    <row r="611">
      <c r="A611" s="389"/>
      <c r="B611" s="389"/>
      <c r="C611" s="390"/>
      <c r="D611" s="389"/>
      <c r="E611" s="389"/>
      <c r="F611" s="389"/>
      <c r="G611" s="389"/>
      <c r="H611" s="389"/>
    </row>
    <row r="612">
      <c r="A612" s="389"/>
      <c r="B612" s="389"/>
      <c r="C612" s="390"/>
      <c r="D612" s="389"/>
      <c r="E612" s="389"/>
      <c r="F612" s="389"/>
      <c r="G612" s="389"/>
      <c r="H612" s="389"/>
    </row>
    <row r="613">
      <c r="A613" s="389"/>
      <c r="B613" s="389"/>
      <c r="C613" s="390"/>
      <c r="D613" s="389"/>
      <c r="E613" s="389"/>
      <c r="F613" s="389"/>
      <c r="G613" s="389"/>
      <c r="H613" s="389"/>
    </row>
    <row r="614">
      <c r="A614" s="389"/>
      <c r="B614" s="389"/>
      <c r="C614" s="390"/>
      <c r="D614" s="389"/>
      <c r="E614" s="389"/>
      <c r="F614" s="389"/>
      <c r="G614" s="389"/>
      <c r="H614" s="389"/>
    </row>
    <row r="615">
      <c r="A615" s="389"/>
      <c r="B615" s="389"/>
      <c r="C615" s="390"/>
      <c r="D615" s="389"/>
      <c r="E615" s="389"/>
      <c r="F615" s="389"/>
      <c r="G615" s="389"/>
      <c r="H615" s="389"/>
    </row>
    <row r="616">
      <c r="A616" s="389"/>
      <c r="B616" s="389"/>
      <c r="C616" s="390"/>
      <c r="D616" s="389"/>
      <c r="E616" s="389"/>
      <c r="F616" s="389"/>
      <c r="G616" s="389"/>
      <c r="H616" s="389"/>
    </row>
    <row r="617">
      <c r="A617" s="389"/>
      <c r="B617" s="389"/>
      <c r="C617" s="390"/>
      <c r="D617" s="389"/>
      <c r="E617" s="389"/>
      <c r="F617" s="389"/>
      <c r="G617" s="389"/>
      <c r="H617" s="389"/>
    </row>
    <row r="618">
      <c r="A618" s="389"/>
      <c r="B618" s="389"/>
      <c r="C618" s="390"/>
      <c r="D618" s="389"/>
      <c r="E618" s="389"/>
      <c r="F618" s="389"/>
      <c r="G618" s="389"/>
      <c r="H618" s="389"/>
    </row>
    <row r="619">
      <c r="A619" s="389"/>
      <c r="B619" s="389"/>
      <c r="C619" s="390"/>
      <c r="D619" s="389"/>
      <c r="E619" s="389"/>
      <c r="F619" s="389"/>
      <c r="G619" s="389"/>
      <c r="H619" s="389"/>
    </row>
    <row r="620">
      <c r="A620" s="389"/>
      <c r="B620" s="389"/>
      <c r="C620" s="390"/>
      <c r="D620" s="389"/>
      <c r="E620" s="389"/>
      <c r="F620" s="389"/>
      <c r="G620" s="389"/>
      <c r="H620" s="389"/>
    </row>
    <row r="621">
      <c r="A621" s="389"/>
      <c r="B621" s="389"/>
      <c r="C621" s="390"/>
      <c r="D621" s="389"/>
      <c r="E621" s="389"/>
      <c r="F621" s="389"/>
      <c r="G621" s="389"/>
      <c r="H621" s="389"/>
    </row>
    <row r="622">
      <c r="A622" s="389"/>
      <c r="B622" s="389"/>
      <c r="C622" s="390"/>
      <c r="D622" s="389"/>
      <c r="E622" s="389"/>
      <c r="F622" s="389"/>
      <c r="G622" s="389"/>
      <c r="H622" s="389"/>
    </row>
    <row r="623">
      <c r="A623" s="389"/>
      <c r="B623" s="389"/>
      <c r="C623" s="390"/>
      <c r="D623" s="389"/>
      <c r="E623" s="389"/>
      <c r="F623" s="389"/>
      <c r="G623" s="389"/>
      <c r="H623" s="389"/>
    </row>
    <row r="624">
      <c r="A624" s="389"/>
      <c r="B624" s="389"/>
      <c r="C624" s="390"/>
      <c r="D624" s="389"/>
      <c r="E624" s="389"/>
      <c r="F624" s="389"/>
      <c r="G624" s="389"/>
      <c r="H624" s="389"/>
    </row>
    <row r="625">
      <c r="A625" s="389"/>
      <c r="B625" s="389"/>
      <c r="C625" s="390"/>
      <c r="D625" s="389"/>
      <c r="E625" s="389"/>
      <c r="F625" s="389"/>
      <c r="G625" s="389"/>
      <c r="H625" s="389"/>
    </row>
    <row r="626">
      <c r="A626" s="389"/>
      <c r="B626" s="389"/>
      <c r="C626" s="390"/>
      <c r="D626" s="389"/>
      <c r="E626" s="389"/>
      <c r="F626" s="389"/>
      <c r="G626" s="389"/>
      <c r="H626" s="389"/>
    </row>
    <row r="627">
      <c r="A627" s="389"/>
      <c r="B627" s="389"/>
      <c r="C627" s="390"/>
      <c r="D627" s="389"/>
      <c r="E627" s="389"/>
      <c r="F627" s="389"/>
      <c r="G627" s="389"/>
      <c r="H627" s="389"/>
    </row>
    <row r="628">
      <c r="A628" s="389"/>
      <c r="B628" s="389"/>
      <c r="C628" s="390"/>
      <c r="D628" s="389"/>
      <c r="E628" s="389"/>
      <c r="F628" s="389"/>
      <c r="G628" s="389"/>
      <c r="H628" s="389"/>
    </row>
    <row r="629">
      <c r="A629" s="389"/>
      <c r="B629" s="389"/>
      <c r="C629" s="390"/>
      <c r="D629" s="389"/>
      <c r="E629" s="389"/>
      <c r="F629" s="389"/>
      <c r="G629" s="389"/>
      <c r="H629" s="389"/>
    </row>
    <row r="630">
      <c r="A630" s="389"/>
      <c r="B630" s="389"/>
      <c r="C630" s="390"/>
      <c r="D630" s="389"/>
      <c r="E630" s="389"/>
      <c r="F630" s="389"/>
      <c r="G630" s="389"/>
      <c r="H630" s="389"/>
    </row>
    <row r="631">
      <c r="A631" s="389"/>
      <c r="B631" s="389"/>
      <c r="C631" s="390"/>
      <c r="D631" s="389"/>
      <c r="E631" s="389"/>
      <c r="F631" s="389"/>
      <c r="G631" s="389"/>
      <c r="H631" s="389"/>
    </row>
    <row r="632">
      <c r="A632" s="389"/>
      <c r="B632" s="389"/>
      <c r="C632" s="390"/>
      <c r="D632" s="389"/>
      <c r="E632" s="389"/>
      <c r="F632" s="389"/>
      <c r="G632" s="389"/>
      <c r="H632" s="389"/>
    </row>
    <row r="633">
      <c r="A633" s="389"/>
      <c r="B633" s="389"/>
      <c r="C633" s="390"/>
      <c r="D633" s="389"/>
      <c r="E633" s="389"/>
      <c r="F633" s="389"/>
      <c r="G633" s="389"/>
      <c r="H633" s="389"/>
    </row>
    <row r="634">
      <c r="A634" s="389"/>
      <c r="B634" s="389"/>
      <c r="C634" s="390"/>
      <c r="D634" s="389"/>
      <c r="E634" s="389"/>
      <c r="F634" s="389"/>
      <c r="G634" s="389"/>
      <c r="H634" s="389"/>
    </row>
    <row r="635">
      <c r="A635" s="389"/>
      <c r="B635" s="389"/>
      <c r="C635" s="390"/>
      <c r="D635" s="389"/>
      <c r="E635" s="389"/>
      <c r="F635" s="389"/>
      <c r="G635" s="389"/>
      <c r="H635" s="389"/>
    </row>
    <row r="636">
      <c r="A636" s="389"/>
      <c r="B636" s="389"/>
      <c r="C636" s="390"/>
      <c r="D636" s="389"/>
      <c r="E636" s="389"/>
      <c r="F636" s="389"/>
      <c r="G636" s="389"/>
      <c r="H636" s="389"/>
    </row>
    <row r="637">
      <c r="A637" s="389"/>
      <c r="B637" s="389"/>
      <c r="C637" s="390"/>
      <c r="D637" s="389"/>
      <c r="E637" s="389"/>
      <c r="F637" s="389"/>
      <c r="G637" s="389"/>
      <c r="H637" s="389"/>
    </row>
    <row r="638">
      <c r="A638" s="389"/>
      <c r="B638" s="389"/>
      <c r="C638" s="390"/>
      <c r="D638" s="389"/>
      <c r="E638" s="389"/>
      <c r="F638" s="389"/>
      <c r="G638" s="389"/>
      <c r="H638" s="389"/>
    </row>
    <row r="639">
      <c r="A639" s="389"/>
      <c r="B639" s="389"/>
      <c r="C639" s="390"/>
      <c r="D639" s="389"/>
      <c r="E639" s="389"/>
      <c r="F639" s="389"/>
      <c r="G639" s="389"/>
      <c r="H639" s="389"/>
    </row>
    <row r="640">
      <c r="A640" s="389"/>
      <c r="B640" s="389"/>
      <c r="C640" s="390"/>
      <c r="D640" s="389"/>
      <c r="E640" s="389"/>
      <c r="F640" s="389"/>
      <c r="G640" s="389"/>
      <c r="H640" s="389"/>
    </row>
    <row r="641">
      <c r="A641" s="389"/>
      <c r="B641" s="389"/>
      <c r="C641" s="390"/>
      <c r="D641" s="389"/>
      <c r="E641" s="389"/>
      <c r="F641" s="389"/>
      <c r="G641" s="389"/>
      <c r="H641" s="389"/>
    </row>
    <row r="642">
      <c r="A642" s="389"/>
      <c r="B642" s="389"/>
      <c r="C642" s="390"/>
      <c r="D642" s="389"/>
      <c r="E642" s="389"/>
      <c r="F642" s="389"/>
      <c r="G642" s="389"/>
      <c r="H642" s="389"/>
    </row>
    <row r="643">
      <c r="A643" s="389"/>
      <c r="B643" s="389"/>
      <c r="C643" s="390"/>
      <c r="D643" s="389"/>
      <c r="E643" s="389"/>
      <c r="F643" s="389"/>
      <c r="G643" s="389"/>
      <c r="H643" s="389"/>
    </row>
    <row r="644">
      <c r="A644" s="389"/>
      <c r="B644" s="389"/>
      <c r="C644" s="390"/>
      <c r="D644" s="389"/>
      <c r="E644" s="389"/>
      <c r="F644" s="389"/>
      <c r="G644" s="389"/>
      <c r="H644" s="389"/>
    </row>
    <row r="645">
      <c r="A645" s="389"/>
      <c r="B645" s="389"/>
      <c r="C645" s="390"/>
      <c r="D645" s="389"/>
      <c r="E645" s="389"/>
      <c r="F645" s="389"/>
      <c r="G645" s="389"/>
      <c r="H645" s="389"/>
    </row>
    <row r="646">
      <c r="A646" s="389"/>
      <c r="B646" s="389"/>
      <c r="C646" s="390"/>
      <c r="D646" s="389"/>
      <c r="E646" s="389"/>
      <c r="F646" s="389"/>
      <c r="G646" s="389"/>
      <c r="H646" s="389"/>
    </row>
    <row r="647">
      <c r="A647" s="389"/>
      <c r="B647" s="389"/>
      <c r="C647" s="390"/>
      <c r="D647" s="389"/>
      <c r="E647" s="389"/>
      <c r="F647" s="389"/>
      <c r="G647" s="389"/>
      <c r="H647" s="389"/>
    </row>
    <row r="648">
      <c r="A648" s="389"/>
      <c r="B648" s="389"/>
      <c r="C648" s="390"/>
      <c r="D648" s="389"/>
      <c r="E648" s="389"/>
      <c r="F648" s="389"/>
      <c r="G648" s="389"/>
      <c r="H648" s="389"/>
    </row>
    <row r="649">
      <c r="A649" s="389"/>
      <c r="B649" s="389"/>
      <c r="C649" s="390"/>
      <c r="D649" s="389"/>
      <c r="E649" s="389"/>
      <c r="F649" s="389"/>
      <c r="G649" s="389"/>
      <c r="H649" s="389"/>
    </row>
    <row r="650">
      <c r="A650" s="389"/>
      <c r="B650" s="389"/>
      <c r="C650" s="390"/>
      <c r="D650" s="389"/>
      <c r="E650" s="389"/>
      <c r="F650" s="389"/>
      <c r="G650" s="389"/>
      <c r="H650" s="389"/>
    </row>
    <row r="651">
      <c r="A651" s="389"/>
      <c r="B651" s="389"/>
      <c r="C651" s="390"/>
      <c r="D651" s="389"/>
      <c r="E651" s="389"/>
      <c r="F651" s="389"/>
      <c r="G651" s="389"/>
      <c r="H651" s="389"/>
    </row>
    <row r="652">
      <c r="A652" s="389"/>
      <c r="B652" s="389"/>
      <c r="C652" s="390"/>
      <c r="D652" s="389"/>
      <c r="E652" s="389"/>
      <c r="F652" s="389"/>
      <c r="G652" s="389"/>
      <c r="H652" s="389"/>
    </row>
    <row r="653">
      <c r="A653" s="389"/>
      <c r="B653" s="389"/>
      <c r="C653" s="390"/>
      <c r="D653" s="389"/>
      <c r="E653" s="389"/>
      <c r="F653" s="389"/>
      <c r="G653" s="389"/>
      <c r="H653" s="389"/>
    </row>
    <row r="654">
      <c r="A654" s="389"/>
      <c r="B654" s="389"/>
      <c r="C654" s="390"/>
      <c r="D654" s="389"/>
      <c r="E654" s="389"/>
      <c r="F654" s="389"/>
      <c r="G654" s="389"/>
      <c r="H654" s="389"/>
    </row>
    <row r="655">
      <c r="A655" s="389"/>
      <c r="B655" s="389"/>
      <c r="C655" s="390"/>
      <c r="D655" s="389"/>
      <c r="E655" s="389"/>
      <c r="F655" s="389"/>
      <c r="G655" s="389"/>
      <c r="H655" s="389"/>
    </row>
    <row r="656">
      <c r="A656" s="389"/>
      <c r="B656" s="389"/>
      <c r="C656" s="390"/>
      <c r="D656" s="389"/>
      <c r="E656" s="389"/>
      <c r="F656" s="389"/>
      <c r="G656" s="389"/>
      <c r="H656" s="389"/>
    </row>
    <row r="657">
      <c r="A657" s="389"/>
      <c r="B657" s="389"/>
      <c r="C657" s="390"/>
      <c r="D657" s="389"/>
      <c r="E657" s="389"/>
      <c r="F657" s="389"/>
      <c r="G657" s="389"/>
      <c r="H657" s="389"/>
    </row>
    <row r="658">
      <c r="A658" s="389"/>
      <c r="B658" s="389"/>
      <c r="C658" s="390"/>
      <c r="D658" s="389"/>
      <c r="E658" s="389"/>
      <c r="F658" s="389"/>
      <c r="G658" s="389"/>
      <c r="H658" s="389"/>
    </row>
    <row r="659">
      <c r="A659" s="389"/>
      <c r="B659" s="389"/>
      <c r="C659" s="390"/>
      <c r="D659" s="389"/>
      <c r="E659" s="389"/>
      <c r="F659" s="389"/>
      <c r="G659" s="389"/>
      <c r="H659" s="389"/>
    </row>
    <row r="660">
      <c r="A660" s="389"/>
      <c r="B660" s="389"/>
      <c r="C660" s="390"/>
      <c r="D660" s="389"/>
      <c r="E660" s="389"/>
      <c r="F660" s="389"/>
      <c r="G660" s="389"/>
      <c r="H660" s="389"/>
    </row>
    <row r="661">
      <c r="A661" s="389"/>
      <c r="B661" s="389"/>
      <c r="C661" s="390"/>
      <c r="D661" s="389"/>
      <c r="E661" s="389"/>
      <c r="F661" s="389"/>
      <c r="G661" s="389"/>
      <c r="H661" s="389"/>
    </row>
    <row r="662">
      <c r="A662" s="389"/>
      <c r="B662" s="389"/>
      <c r="C662" s="390"/>
      <c r="D662" s="389"/>
      <c r="E662" s="389"/>
      <c r="F662" s="389"/>
      <c r="G662" s="389"/>
      <c r="H662" s="389"/>
    </row>
    <row r="663">
      <c r="A663" s="389"/>
      <c r="B663" s="389"/>
      <c r="C663" s="390"/>
      <c r="D663" s="389"/>
      <c r="E663" s="389"/>
      <c r="F663" s="389"/>
      <c r="G663" s="389"/>
      <c r="H663" s="389"/>
    </row>
    <row r="664">
      <c r="A664" s="389"/>
      <c r="B664" s="389"/>
      <c r="C664" s="390"/>
      <c r="D664" s="389"/>
      <c r="E664" s="389"/>
      <c r="F664" s="389"/>
      <c r="G664" s="389"/>
      <c r="H664" s="389"/>
    </row>
    <row r="665">
      <c r="A665" s="389"/>
      <c r="B665" s="389"/>
      <c r="C665" s="390"/>
      <c r="D665" s="389"/>
      <c r="E665" s="389"/>
      <c r="F665" s="389"/>
      <c r="G665" s="389"/>
      <c r="H665" s="389"/>
    </row>
    <row r="666">
      <c r="A666" s="389"/>
      <c r="B666" s="389"/>
      <c r="C666" s="390"/>
      <c r="D666" s="389"/>
      <c r="E666" s="389"/>
      <c r="F666" s="389"/>
      <c r="G666" s="389"/>
      <c r="H666" s="389"/>
    </row>
    <row r="667">
      <c r="A667" s="389"/>
      <c r="B667" s="389"/>
      <c r="C667" s="390"/>
      <c r="D667" s="389"/>
      <c r="E667" s="389"/>
      <c r="F667" s="389"/>
      <c r="G667" s="389"/>
      <c r="H667" s="389"/>
    </row>
    <row r="668">
      <c r="A668" s="389"/>
      <c r="B668" s="389"/>
      <c r="C668" s="390"/>
      <c r="D668" s="389"/>
      <c r="E668" s="389"/>
      <c r="F668" s="389"/>
      <c r="G668" s="389"/>
      <c r="H668" s="389"/>
    </row>
    <row r="669">
      <c r="A669" s="389"/>
      <c r="B669" s="389"/>
      <c r="C669" s="390"/>
      <c r="D669" s="389"/>
      <c r="E669" s="389"/>
      <c r="F669" s="389"/>
      <c r="G669" s="389"/>
      <c r="H669" s="389"/>
    </row>
    <row r="670">
      <c r="A670" s="389"/>
      <c r="B670" s="389"/>
      <c r="C670" s="390"/>
      <c r="D670" s="389"/>
      <c r="E670" s="389"/>
      <c r="F670" s="389"/>
      <c r="G670" s="389"/>
      <c r="H670" s="389"/>
    </row>
    <row r="671">
      <c r="A671" s="389"/>
      <c r="B671" s="389"/>
      <c r="C671" s="390"/>
      <c r="D671" s="389"/>
      <c r="E671" s="389"/>
      <c r="F671" s="389"/>
      <c r="G671" s="389"/>
      <c r="H671" s="389"/>
    </row>
    <row r="672">
      <c r="A672" s="389"/>
      <c r="B672" s="389"/>
      <c r="C672" s="390"/>
      <c r="D672" s="389"/>
      <c r="E672" s="389"/>
      <c r="F672" s="389"/>
      <c r="G672" s="389"/>
      <c r="H672" s="389"/>
    </row>
    <row r="673">
      <c r="A673" s="389"/>
      <c r="B673" s="389"/>
      <c r="C673" s="390"/>
      <c r="D673" s="389"/>
      <c r="E673" s="389"/>
      <c r="F673" s="389"/>
      <c r="G673" s="389"/>
      <c r="H673" s="389"/>
    </row>
    <row r="674">
      <c r="A674" s="389"/>
      <c r="B674" s="389"/>
      <c r="C674" s="390"/>
      <c r="D674" s="389"/>
      <c r="E674" s="389"/>
      <c r="F674" s="389"/>
      <c r="G674" s="389"/>
      <c r="H674" s="389"/>
    </row>
    <row r="675">
      <c r="A675" s="389"/>
      <c r="B675" s="389"/>
      <c r="C675" s="390"/>
      <c r="D675" s="389"/>
      <c r="E675" s="389"/>
      <c r="F675" s="389"/>
      <c r="G675" s="389"/>
      <c r="H675" s="389"/>
    </row>
    <row r="676">
      <c r="A676" s="389"/>
      <c r="B676" s="389"/>
      <c r="C676" s="390"/>
      <c r="D676" s="389"/>
      <c r="E676" s="389"/>
      <c r="F676" s="389"/>
      <c r="G676" s="389"/>
      <c r="H676" s="389"/>
    </row>
    <row r="677">
      <c r="A677" s="389"/>
      <c r="B677" s="389"/>
      <c r="C677" s="390"/>
      <c r="D677" s="389"/>
      <c r="E677" s="389"/>
      <c r="F677" s="389"/>
      <c r="G677" s="389"/>
      <c r="H677" s="389"/>
    </row>
    <row r="678">
      <c r="A678" s="389"/>
      <c r="B678" s="389"/>
      <c r="C678" s="390"/>
      <c r="D678" s="389"/>
      <c r="E678" s="389"/>
      <c r="F678" s="389"/>
      <c r="G678" s="389"/>
      <c r="H678" s="389"/>
    </row>
    <row r="679">
      <c r="A679" s="389"/>
      <c r="B679" s="389"/>
      <c r="C679" s="390"/>
      <c r="D679" s="389"/>
      <c r="E679" s="389"/>
      <c r="F679" s="389"/>
      <c r="G679" s="389"/>
      <c r="H679" s="389"/>
    </row>
    <row r="680">
      <c r="A680" s="389"/>
      <c r="B680" s="389"/>
      <c r="C680" s="390"/>
      <c r="D680" s="389"/>
      <c r="E680" s="389"/>
      <c r="F680" s="389"/>
      <c r="G680" s="389"/>
      <c r="H680" s="389"/>
    </row>
    <row r="681">
      <c r="A681" s="389"/>
      <c r="B681" s="389"/>
      <c r="C681" s="390"/>
      <c r="D681" s="389"/>
      <c r="E681" s="389"/>
      <c r="F681" s="389"/>
      <c r="G681" s="389"/>
      <c r="H681" s="389"/>
    </row>
    <row r="682">
      <c r="A682" s="389"/>
      <c r="B682" s="389"/>
      <c r="C682" s="390"/>
      <c r="D682" s="389"/>
      <c r="E682" s="389"/>
      <c r="F682" s="389"/>
      <c r="G682" s="389"/>
      <c r="H682" s="389"/>
    </row>
    <row r="683">
      <c r="A683" s="389"/>
      <c r="B683" s="389"/>
      <c r="C683" s="390"/>
      <c r="D683" s="389"/>
      <c r="E683" s="389"/>
      <c r="F683" s="389"/>
      <c r="G683" s="389"/>
      <c r="H683" s="389"/>
    </row>
    <row r="684">
      <c r="A684" s="389"/>
      <c r="B684" s="389"/>
      <c r="C684" s="390"/>
      <c r="D684" s="389"/>
      <c r="E684" s="389"/>
      <c r="F684" s="389"/>
      <c r="G684" s="389"/>
      <c r="H684" s="389"/>
    </row>
    <row r="685">
      <c r="A685" s="389"/>
      <c r="B685" s="389"/>
      <c r="C685" s="390"/>
      <c r="D685" s="389"/>
      <c r="E685" s="389"/>
      <c r="F685" s="389"/>
      <c r="G685" s="389"/>
      <c r="H685" s="389"/>
    </row>
    <row r="686">
      <c r="A686" s="389"/>
      <c r="B686" s="389"/>
      <c r="C686" s="390"/>
      <c r="D686" s="389"/>
      <c r="E686" s="389"/>
      <c r="F686" s="389"/>
      <c r="G686" s="389"/>
      <c r="H686" s="389"/>
    </row>
    <row r="687">
      <c r="A687" s="389"/>
      <c r="B687" s="389"/>
      <c r="C687" s="390"/>
      <c r="D687" s="389"/>
      <c r="E687" s="389"/>
      <c r="F687" s="389"/>
      <c r="G687" s="389"/>
      <c r="H687" s="389"/>
    </row>
    <row r="688">
      <c r="A688" s="389"/>
      <c r="B688" s="389"/>
      <c r="C688" s="390"/>
      <c r="D688" s="389"/>
      <c r="E688" s="389"/>
      <c r="F688" s="389"/>
      <c r="G688" s="389"/>
      <c r="H688" s="389"/>
    </row>
    <row r="689">
      <c r="A689" s="389"/>
      <c r="B689" s="389"/>
      <c r="C689" s="390"/>
      <c r="D689" s="389"/>
      <c r="E689" s="389"/>
      <c r="F689" s="389"/>
      <c r="G689" s="389"/>
      <c r="H689" s="389"/>
    </row>
    <row r="690">
      <c r="A690" s="389"/>
      <c r="B690" s="389"/>
      <c r="C690" s="390"/>
      <c r="D690" s="389"/>
      <c r="E690" s="389"/>
      <c r="F690" s="389"/>
      <c r="G690" s="389"/>
      <c r="H690" s="389"/>
    </row>
    <row r="691">
      <c r="A691" s="389"/>
      <c r="B691" s="389"/>
      <c r="C691" s="390"/>
      <c r="D691" s="389"/>
      <c r="E691" s="389"/>
      <c r="F691" s="389"/>
      <c r="G691" s="389"/>
      <c r="H691" s="389"/>
    </row>
    <row r="692">
      <c r="A692" s="389"/>
      <c r="B692" s="389"/>
      <c r="C692" s="390"/>
      <c r="D692" s="389"/>
      <c r="E692" s="389"/>
      <c r="F692" s="389"/>
      <c r="G692" s="389"/>
      <c r="H692" s="389"/>
    </row>
    <row r="693">
      <c r="A693" s="389"/>
      <c r="B693" s="389"/>
      <c r="C693" s="390"/>
      <c r="D693" s="389"/>
      <c r="E693" s="389"/>
      <c r="F693" s="389"/>
      <c r="G693" s="389"/>
      <c r="H693" s="389"/>
    </row>
    <row r="694">
      <c r="A694" s="389"/>
      <c r="B694" s="389"/>
      <c r="C694" s="390"/>
      <c r="D694" s="389"/>
      <c r="E694" s="389"/>
      <c r="F694" s="389"/>
      <c r="G694" s="389"/>
      <c r="H694" s="389"/>
    </row>
    <row r="695">
      <c r="A695" s="389"/>
      <c r="B695" s="389"/>
      <c r="C695" s="390"/>
      <c r="D695" s="389"/>
      <c r="E695" s="389"/>
      <c r="F695" s="389"/>
      <c r="G695" s="389"/>
      <c r="H695" s="389"/>
    </row>
    <row r="696">
      <c r="A696" s="389"/>
      <c r="B696" s="389"/>
      <c r="C696" s="390"/>
      <c r="D696" s="389"/>
      <c r="E696" s="389"/>
      <c r="F696" s="389"/>
      <c r="G696" s="389"/>
      <c r="H696" s="389"/>
    </row>
    <row r="697">
      <c r="A697" s="389"/>
      <c r="B697" s="389"/>
      <c r="C697" s="390"/>
      <c r="D697" s="389"/>
      <c r="E697" s="389"/>
      <c r="F697" s="389"/>
      <c r="G697" s="389"/>
      <c r="H697" s="389"/>
    </row>
    <row r="698">
      <c r="A698" s="389"/>
      <c r="B698" s="389"/>
      <c r="C698" s="390"/>
      <c r="D698" s="389"/>
      <c r="E698" s="389"/>
      <c r="F698" s="389"/>
      <c r="G698" s="389"/>
      <c r="H698" s="389"/>
    </row>
    <row r="699">
      <c r="A699" s="389"/>
      <c r="B699" s="389"/>
      <c r="C699" s="390"/>
      <c r="D699" s="389"/>
      <c r="E699" s="389"/>
      <c r="F699" s="389"/>
      <c r="G699" s="389"/>
      <c r="H699" s="389"/>
    </row>
    <row r="700">
      <c r="A700" s="389"/>
      <c r="B700" s="389"/>
      <c r="C700" s="390"/>
      <c r="D700" s="389"/>
      <c r="E700" s="389"/>
      <c r="F700" s="389"/>
      <c r="G700" s="389"/>
      <c r="H700" s="389"/>
    </row>
    <row r="701">
      <c r="A701" s="389"/>
      <c r="B701" s="389"/>
      <c r="C701" s="390"/>
      <c r="D701" s="389"/>
      <c r="E701" s="389"/>
      <c r="F701" s="389"/>
      <c r="G701" s="389"/>
      <c r="H701" s="389"/>
    </row>
    <row r="702">
      <c r="A702" s="389"/>
      <c r="B702" s="389"/>
      <c r="C702" s="390"/>
      <c r="D702" s="389"/>
      <c r="E702" s="389"/>
      <c r="F702" s="389"/>
      <c r="G702" s="389"/>
      <c r="H702" s="389"/>
    </row>
    <row r="703">
      <c r="A703" s="389"/>
      <c r="B703" s="389"/>
      <c r="C703" s="390"/>
      <c r="D703" s="389"/>
      <c r="E703" s="389"/>
      <c r="F703" s="389"/>
      <c r="G703" s="389"/>
      <c r="H703" s="389"/>
    </row>
    <row r="704">
      <c r="A704" s="389"/>
      <c r="B704" s="389"/>
      <c r="C704" s="390"/>
      <c r="D704" s="389"/>
      <c r="E704" s="389"/>
      <c r="F704" s="389"/>
      <c r="G704" s="389"/>
      <c r="H704" s="389"/>
    </row>
    <row r="705">
      <c r="A705" s="389"/>
      <c r="B705" s="389"/>
      <c r="C705" s="390"/>
      <c r="D705" s="389"/>
      <c r="E705" s="389"/>
      <c r="F705" s="389"/>
      <c r="G705" s="389"/>
      <c r="H705" s="389"/>
    </row>
    <row r="706">
      <c r="A706" s="389"/>
      <c r="B706" s="389"/>
      <c r="C706" s="390"/>
      <c r="D706" s="389"/>
      <c r="E706" s="389"/>
      <c r="F706" s="389"/>
      <c r="G706" s="389"/>
      <c r="H706" s="389"/>
    </row>
    <row r="707">
      <c r="A707" s="389"/>
      <c r="B707" s="389"/>
      <c r="C707" s="390"/>
      <c r="D707" s="389"/>
      <c r="E707" s="389"/>
      <c r="F707" s="389"/>
      <c r="G707" s="389"/>
      <c r="H707" s="389"/>
    </row>
    <row r="708">
      <c r="A708" s="389"/>
      <c r="B708" s="389"/>
      <c r="C708" s="390"/>
      <c r="D708" s="389"/>
      <c r="E708" s="389"/>
      <c r="F708" s="389"/>
      <c r="G708" s="389"/>
      <c r="H708" s="389"/>
    </row>
    <row r="709">
      <c r="A709" s="389"/>
      <c r="B709" s="389"/>
      <c r="C709" s="390"/>
      <c r="D709" s="389"/>
      <c r="E709" s="389"/>
      <c r="F709" s="389"/>
      <c r="G709" s="389"/>
      <c r="H709" s="389"/>
    </row>
    <row r="710">
      <c r="A710" s="389"/>
      <c r="B710" s="389"/>
      <c r="C710" s="390"/>
      <c r="D710" s="389"/>
      <c r="E710" s="389"/>
      <c r="F710" s="389"/>
      <c r="G710" s="389"/>
      <c r="H710" s="389"/>
    </row>
    <row r="711">
      <c r="A711" s="389"/>
      <c r="B711" s="389"/>
      <c r="C711" s="390"/>
      <c r="D711" s="389"/>
      <c r="E711" s="389"/>
      <c r="F711" s="389"/>
      <c r="G711" s="389"/>
      <c r="H711" s="389"/>
    </row>
    <row r="712">
      <c r="A712" s="389"/>
      <c r="B712" s="389"/>
      <c r="C712" s="390"/>
      <c r="D712" s="389"/>
      <c r="E712" s="389"/>
      <c r="F712" s="389"/>
      <c r="G712" s="389"/>
      <c r="H712" s="389"/>
    </row>
    <row r="713">
      <c r="A713" s="389"/>
      <c r="B713" s="389"/>
      <c r="C713" s="390"/>
      <c r="D713" s="389"/>
      <c r="E713" s="389"/>
      <c r="F713" s="389"/>
      <c r="G713" s="389"/>
      <c r="H713" s="389"/>
    </row>
    <row r="714">
      <c r="A714" s="389"/>
      <c r="B714" s="389"/>
      <c r="C714" s="390"/>
      <c r="D714" s="389"/>
      <c r="E714" s="389"/>
      <c r="F714" s="389"/>
      <c r="G714" s="389"/>
      <c r="H714" s="389"/>
    </row>
    <row r="715">
      <c r="A715" s="389"/>
      <c r="B715" s="389"/>
      <c r="C715" s="390"/>
      <c r="D715" s="389"/>
      <c r="E715" s="389"/>
      <c r="F715" s="389"/>
      <c r="G715" s="389"/>
      <c r="H715" s="389"/>
    </row>
    <row r="716">
      <c r="A716" s="389"/>
      <c r="B716" s="389"/>
      <c r="C716" s="390"/>
      <c r="D716" s="389"/>
      <c r="E716" s="389"/>
      <c r="F716" s="389"/>
      <c r="G716" s="389"/>
      <c r="H716" s="389"/>
    </row>
    <row r="717">
      <c r="A717" s="389"/>
      <c r="B717" s="389"/>
      <c r="C717" s="390"/>
      <c r="D717" s="389"/>
      <c r="E717" s="389"/>
      <c r="F717" s="389"/>
      <c r="G717" s="389"/>
      <c r="H717" s="389"/>
    </row>
    <row r="718">
      <c r="A718" s="389"/>
      <c r="B718" s="389"/>
      <c r="C718" s="390"/>
      <c r="D718" s="389"/>
      <c r="E718" s="389"/>
      <c r="F718" s="389"/>
      <c r="G718" s="389"/>
      <c r="H718" s="389"/>
    </row>
    <row r="719">
      <c r="A719" s="389"/>
      <c r="B719" s="389"/>
      <c r="C719" s="390"/>
      <c r="D719" s="389"/>
      <c r="E719" s="389"/>
      <c r="F719" s="389"/>
      <c r="G719" s="389"/>
      <c r="H719" s="389"/>
    </row>
    <row r="720">
      <c r="A720" s="389"/>
      <c r="B720" s="389"/>
      <c r="C720" s="390"/>
      <c r="D720" s="389"/>
      <c r="E720" s="389"/>
      <c r="F720" s="389"/>
      <c r="G720" s="389"/>
      <c r="H720" s="389"/>
    </row>
    <row r="721">
      <c r="A721" s="389"/>
      <c r="B721" s="389"/>
      <c r="C721" s="390"/>
      <c r="D721" s="389"/>
      <c r="E721" s="389"/>
      <c r="F721" s="389"/>
      <c r="G721" s="389"/>
      <c r="H721" s="389"/>
    </row>
    <row r="722">
      <c r="A722" s="389"/>
      <c r="B722" s="389"/>
      <c r="C722" s="390"/>
      <c r="D722" s="389"/>
      <c r="E722" s="389"/>
      <c r="F722" s="389"/>
      <c r="G722" s="389"/>
      <c r="H722" s="389"/>
    </row>
    <row r="723">
      <c r="A723" s="389"/>
      <c r="B723" s="389"/>
      <c r="C723" s="390"/>
      <c r="D723" s="389"/>
      <c r="E723" s="389"/>
      <c r="F723" s="389"/>
      <c r="G723" s="389"/>
      <c r="H723" s="389"/>
    </row>
    <row r="724">
      <c r="A724" s="389"/>
      <c r="B724" s="389"/>
      <c r="C724" s="390"/>
      <c r="D724" s="389"/>
      <c r="E724" s="389"/>
      <c r="F724" s="389"/>
      <c r="G724" s="389"/>
      <c r="H724" s="389"/>
    </row>
    <row r="725">
      <c r="A725" s="389"/>
      <c r="B725" s="389"/>
      <c r="C725" s="390"/>
      <c r="D725" s="389"/>
      <c r="E725" s="389"/>
      <c r="F725" s="389"/>
      <c r="G725" s="389"/>
      <c r="H725" s="389"/>
    </row>
    <row r="726">
      <c r="A726" s="389"/>
      <c r="B726" s="389"/>
      <c r="C726" s="390"/>
      <c r="D726" s="389"/>
      <c r="E726" s="389"/>
      <c r="F726" s="389"/>
      <c r="G726" s="389"/>
      <c r="H726" s="389"/>
    </row>
    <row r="727">
      <c r="A727" s="389"/>
      <c r="B727" s="389"/>
      <c r="C727" s="390"/>
      <c r="D727" s="389"/>
      <c r="E727" s="389"/>
      <c r="F727" s="389"/>
      <c r="G727" s="389"/>
      <c r="H727" s="389"/>
    </row>
    <row r="728">
      <c r="A728" s="389"/>
      <c r="B728" s="389"/>
      <c r="C728" s="390"/>
      <c r="D728" s="389"/>
      <c r="E728" s="389"/>
      <c r="F728" s="389"/>
      <c r="G728" s="389"/>
      <c r="H728" s="389"/>
    </row>
    <row r="729">
      <c r="A729" s="389"/>
      <c r="B729" s="389"/>
      <c r="C729" s="390"/>
      <c r="D729" s="389"/>
      <c r="E729" s="389"/>
      <c r="F729" s="389"/>
      <c r="G729" s="389"/>
      <c r="H729" s="389"/>
    </row>
    <row r="730">
      <c r="A730" s="389"/>
      <c r="B730" s="389"/>
      <c r="C730" s="390"/>
      <c r="D730" s="389"/>
      <c r="E730" s="389"/>
      <c r="F730" s="389"/>
      <c r="G730" s="389"/>
      <c r="H730" s="389"/>
    </row>
    <row r="731">
      <c r="A731" s="389"/>
      <c r="B731" s="389"/>
      <c r="C731" s="390"/>
      <c r="D731" s="389"/>
      <c r="E731" s="389"/>
      <c r="F731" s="389"/>
      <c r="G731" s="389"/>
      <c r="H731" s="389"/>
    </row>
    <row r="732">
      <c r="A732" s="389"/>
      <c r="B732" s="389"/>
      <c r="C732" s="390"/>
      <c r="D732" s="389"/>
      <c r="E732" s="389"/>
      <c r="F732" s="389"/>
      <c r="G732" s="389"/>
      <c r="H732" s="389"/>
    </row>
    <row r="733">
      <c r="A733" s="389"/>
      <c r="B733" s="389"/>
      <c r="C733" s="390"/>
      <c r="D733" s="389"/>
      <c r="E733" s="389"/>
      <c r="F733" s="389"/>
      <c r="G733" s="389"/>
      <c r="H733" s="389"/>
    </row>
    <row r="734">
      <c r="A734" s="389"/>
      <c r="B734" s="389"/>
      <c r="C734" s="390"/>
      <c r="D734" s="389"/>
      <c r="E734" s="389"/>
      <c r="F734" s="389"/>
      <c r="G734" s="389"/>
      <c r="H734" s="389"/>
    </row>
    <row r="735">
      <c r="A735" s="389"/>
      <c r="B735" s="389"/>
      <c r="C735" s="390"/>
      <c r="D735" s="389"/>
      <c r="E735" s="389"/>
      <c r="F735" s="389"/>
      <c r="G735" s="389"/>
      <c r="H735" s="389"/>
    </row>
    <row r="736">
      <c r="A736" s="389"/>
      <c r="B736" s="389"/>
      <c r="C736" s="390"/>
      <c r="D736" s="389"/>
      <c r="E736" s="389"/>
      <c r="F736" s="389"/>
      <c r="G736" s="389"/>
      <c r="H736" s="389"/>
    </row>
    <row r="737">
      <c r="A737" s="389"/>
      <c r="B737" s="389"/>
      <c r="C737" s="390"/>
      <c r="D737" s="389"/>
      <c r="E737" s="389"/>
      <c r="F737" s="389"/>
      <c r="G737" s="389"/>
      <c r="H737" s="389"/>
    </row>
    <row r="738">
      <c r="A738" s="389"/>
      <c r="B738" s="389"/>
      <c r="C738" s="390"/>
      <c r="D738" s="389"/>
      <c r="E738" s="389"/>
      <c r="F738" s="389"/>
      <c r="G738" s="389"/>
      <c r="H738" s="389"/>
    </row>
    <row r="739">
      <c r="A739" s="389"/>
      <c r="B739" s="389"/>
      <c r="C739" s="390"/>
      <c r="D739" s="389"/>
      <c r="E739" s="389"/>
      <c r="F739" s="389"/>
      <c r="G739" s="389"/>
      <c r="H739" s="389"/>
    </row>
    <row r="740">
      <c r="A740" s="389"/>
      <c r="B740" s="389"/>
      <c r="C740" s="390"/>
      <c r="D740" s="389"/>
      <c r="E740" s="389"/>
      <c r="F740" s="389"/>
      <c r="G740" s="389"/>
      <c r="H740" s="389"/>
    </row>
    <row r="741">
      <c r="A741" s="389"/>
      <c r="B741" s="389"/>
      <c r="C741" s="390"/>
      <c r="D741" s="389"/>
      <c r="E741" s="389"/>
      <c r="F741" s="389"/>
      <c r="G741" s="389"/>
      <c r="H741" s="389"/>
    </row>
    <row r="742">
      <c r="A742" s="389"/>
      <c r="B742" s="389"/>
      <c r="C742" s="390"/>
      <c r="D742" s="389"/>
      <c r="E742" s="389"/>
      <c r="F742" s="389"/>
      <c r="G742" s="389"/>
      <c r="H742" s="389"/>
    </row>
    <row r="743">
      <c r="A743" s="389"/>
      <c r="B743" s="389"/>
      <c r="C743" s="390"/>
      <c r="D743" s="389"/>
      <c r="E743" s="389"/>
      <c r="F743" s="389"/>
      <c r="G743" s="389"/>
      <c r="H743" s="389"/>
    </row>
    <row r="744">
      <c r="A744" s="389"/>
      <c r="B744" s="389"/>
      <c r="C744" s="390"/>
      <c r="D744" s="389"/>
      <c r="E744" s="389"/>
      <c r="F744" s="389"/>
      <c r="G744" s="389"/>
      <c r="H744" s="389"/>
    </row>
    <row r="745">
      <c r="A745" s="389"/>
      <c r="B745" s="389"/>
      <c r="C745" s="390"/>
      <c r="D745" s="389"/>
      <c r="E745" s="389"/>
      <c r="F745" s="389"/>
      <c r="G745" s="389"/>
      <c r="H745" s="389"/>
    </row>
    <row r="746">
      <c r="A746" s="389"/>
      <c r="B746" s="389"/>
      <c r="C746" s="390"/>
      <c r="D746" s="389"/>
      <c r="E746" s="389"/>
      <c r="F746" s="389"/>
      <c r="G746" s="389"/>
      <c r="H746" s="389"/>
    </row>
    <row r="747">
      <c r="A747" s="389"/>
      <c r="B747" s="389"/>
      <c r="C747" s="390"/>
      <c r="D747" s="389"/>
      <c r="E747" s="389"/>
      <c r="F747" s="389"/>
      <c r="G747" s="389"/>
      <c r="H747" s="389"/>
    </row>
    <row r="748">
      <c r="A748" s="389"/>
      <c r="B748" s="389"/>
      <c r="C748" s="390"/>
      <c r="D748" s="389"/>
      <c r="E748" s="389"/>
      <c r="F748" s="389"/>
      <c r="G748" s="389"/>
      <c r="H748" s="389"/>
    </row>
    <row r="749">
      <c r="A749" s="389"/>
      <c r="B749" s="389"/>
      <c r="C749" s="390"/>
      <c r="D749" s="389"/>
      <c r="E749" s="389"/>
      <c r="F749" s="389"/>
      <c r="G749" s="389"/>
      <c r="H749" s="389"/>
    </row>
    <row r="750">
      <c r="A750" s="389"/>
      <c r="B750" s="389"/>
      <c r="C750" s="390"/>
      <c r="D750" s="389"/>
      <c r="E750" s="389"/>
      <c r="F750" s="389"/>
      <c r="G750" s="389"/>
      <c r="H750" s="389"/>
    </row>
    <row r="751">
      <c r="A751" s="389"/>
      <c r="B751" s="389"/>
      <c r="C751" s="390"/>
      <c r="D751" s="389"/>
      <c r="E751" s="389"/>
      <c r="F751" s="389"/>
      <c r="G751" s="389"/>
      <c r="H751" s="389"/>
    </row>
    <row r="752">
      <c r="A752" s="389"/>
      <c r="B752" s="389"/>
      <c r="C752" s="390"/>
      <c r="D752" s="389"/>
      <c r="E752" s="389"/>
      <c r="F752" s="389"/>
      <c r="G752" s="389"/>
      <c r="H752" s="389"/>
    </row>
    <row r="753">
      <c r="A753" s="389"/>
      <c r="B753" s="389"/>
      <c r="C753" s="390"/>
      <c r="D753" s="389"/>
      <c r="E753" s="389"/>
      <c r="F753" s="389"/>
      <c r="G753" s="389"/>
      <c r="H753" s="389"/>
    </row>
    <row r="754">
      <c r="A754" s="389"/>
      <c r="B754" s="389"/>
      <c r="C754" s="390"/>
      <c r="D754" s="389"/>
      <c r="E754" s="389"/>
      <c r="F754" s="389"/>
      <c r="G754" s="389"/>
      <c r="H754" s="389"/>
    </row>
    <row r="755">
      <c r="A755" s="389"/>
      <c r="B755" s="389"/>
      <c r="C755" s="390"/>
      <c r="D755" s="389"/>
      <c r="E755" s="389"/>
      <c r="F755" s="389"/>
      <c r="G755" s="389"/>
      <c r="H755" s="389"/>
    </row>
    <row r="756">
      <c r="A756" s="389"/>
      <c r="B756" s="389"/>
      <c r="C756" s="390"/>
      <c r="D756" s="389"/>
      <c r="E756" s="389"/>
      <c r="F756" s="389"/>
      <c r="G756" s="389"/>
      <c r="H756" s="389"/>
    </row>
    <row r="757">
      <c r="A757" s="389"/>
      <c r="B757" s="389"/>
      <c r="C757" s="390"/>
      <c r="D757" s="389"/>
      <c r="E757" s="389"/>
      <c r="F757" s="389"/>
      <c r="G757" s="389"/>
      <c r="H757" s="389"/>
    </row>
    <row r="758">
      <c r="A758" s="389"/>
      <c r="B758" s="389"/>
      <c r="C758" s="390"/>
      <c r="D758" s="389"/>
      <c r="E758" s="389"/>
      <c r="F758" s="389"/>
      <c r="G758" s="389"/>
      <c r="H758" s="389"/>
    </row>
    <row r="759">
      <c r="A759" s="389"/>
      <c r="B759" s="389"/>
      <c r="C759" s="390"/>
      <c r="D759" s="389"/>
      <c r="E759" s="389"/>
      <c r="F759" s="389"/>
      <c r="G759" s="389"/>
      <c r="H759" s="389"/>
    </row>
    <row r="760">
      <c r="A760" s="389"/>
      <c r="B760" s="389"/>
      <c r="C760" s="390"/>
      <c r="D760" s="389"/>
      <c r="E760" s="389"/>
      <c r="F760" s="389"/>
      <c r="G760" s="389"/>
      <c r="H760" s="389"/>
    </row>
    <row r="761">
      <c r="A761" s="389"/>
      <c r="B761" s="389"/>
      <c r="C761" s="390"/>
      <c r="D761" s="389"/>
      <c r="E761" s="389"/>
      <c r="F761" s="389"/>
      <c r="G761" s="389"/>
      <c r="H761" s="389"/>
    </row>
    <row r="762">
      <c r="A762" s="389"/>
      <c r="B762" s="389"/>
      <c r="C762" s="390"/>
      <c r="D762" s="389"/>
      <c r="E762" s="389"/>
      <c r="F762" s="389"/>
      <c r="G762" s="389"/>
      <c r="H762" s="389"/>
    </row>
    <row r="763">
      <c r="A763" s="389"/>
      <c r="B763" s="389"/>
      <c r="C763" s="390"/>
      <c r="D763" s="389"/>
      <c r="E763" s="389"/>
      <c r="F763" s="389"/>
      <c r="G763" s="389"/>
      <c r="H763" s="389"/>
    </row>
    <row r="764">
      <c r="A764" s="389"/>
      <c r="B764" s="389"/>
      <c r="C764" s="390"/>
      <c r="D764" s="389"/>
      <c r="E764" s="389"/>
      <c r="F764" s="389"/>
      <c r="G764" s="389"/>
      <c r="H764" s="389"/>
    </row>
    <row r="765">
      <c r="A765" s="389"/>
      <c r="B765" s="389"/>
      <c r="C765" s="390"/>
      <c r="D765" s="389"/>
      <c r="E765" s="389"/>
      <c r="F765" s="389"/>
      <c r="G765" s="389"/>
      <c r="H765" s="389"/>
    </row>
    <row r="766">
      <c r="A766" s="389"/>
      <c r="B766" s="389"/>
      <c r="C766" s="390"/>
      <c r="D766" s="389"/>
      <c r="E766" s="389"/>
      <c r="F766" s="389"/>
      <c r="G766" s="389"/>
      <c r="H766" s="389"/>
    </row>
    <row r="767">
      <c r="A767" s="389"/>
      <c r="B767" s="389"/>
      <c r="C767" s="390"/>
      <c r="D767" s="389"/>
      <c r="E767" s="389"/>
      <c r="F767" s="389"/>
      <c r="G767" s="389"/>
      <c r="H767" s="389"/>
    </row>
    <row r="768">
      <c r="A768" s="389"/>
      <c r="B768" s="389"/>
      <c r="C768" s="390"/>
      <c r="D768" s="389"/>
      <c r="E768" s="389"/>
      <c r="F768" s="389"/>
      <c r="G768" s="389"/>
      <c r="H768" s="389"/>
    </row>
    <row r="769">
      <c r="A769" s="389"/>
      <c r="B769" s="389"/>
      <c r="C769" s="390"/>
      <c r="D769" s="389"/>
      <c r="E769" s="389"/>
      <c r="F769" s="389"/>
      <c r="G769" s="389"/>
      <c r="H769" s="389"/>
    </row>
    <row r="770">
      <c r="A770" s="389"/>
      <c r="B770" s="389"/>
      <c r="C770" s="390"/>
      <c r="D770" s="389"/>
      <c r="E770" s="389"/>
      <c r="F770" s="389"/>
      <c r="G770" s="389"/>
      <c r="H770" s="389"/>
    </row>
    <row r="771">
      <c r="A771" s="389"/>
      <c r="B771" s="389"/>
      <c r="C771" s="390"/>
      <c r="D771" s="389"/>
      <c r="E771" s="389"/>
      <c r="F771" s="389"/>
      <c r="G771" s="389"/>
      <c r="H771" s="389"/>
    </row>
    <row r="772">
      <c r="A772" s="389"/>
      <c r="B772" s="389"/>
      <c r="C772" s="390"/>
      <c r="D772" s="389"/>
      <c r="E772" s="389"/>
      <c r="F772" s="389"/>
      <c r="G772" s="389"/>
      <c r="H772" s="389"/>
    </row>
    <row r="773">
      <c r="A773" s="389"/>
      <c r="B773" s="389"/>
      <c r="C773" s="390"/>
      <c r="D773" s="389"/>
      <c r="E773" s="389"/>
      <c r="F773" s="389"/>
      <c r="G773" s="389"/>
      <c r="H773" s="389"/>
    </row>
    <row r="774">
      <c r="A774" s="389"/>
      <c r="B774" s="389"/>
      <c r="C774" s="390"/>
      <c r="D774" s="389"/>
      <c r="E774" s="389"/>
      <c r="F774" s="389"/>
      <c r="G774" s="389"/>
      <c r="H774" s="389"/>
    </row>
    <row r="775">
      <c r="A775" s="389"/>
      <c r="B775" s="389"/>
      <c r="C775" s="390"/>
      <c r="D775" s="389"/>
      <c r="E775" s="389"/>
      <c r="F775" s="389"/>
      <c r="G775" s="389"/>
      <c r="H775" s="389"/>
    </row>
    <row r="776">
      <c r="A776" s="389"/>
      <c r="B776" s="389"/>
      <c r="C776" s="390"/>
      <c r="D776" s="389"/>
      <c r="E776" s="389"/>
      <c r="F776" s="389"/>
      <c r="G776" s="389"/>
      <c r="H776" s="389"/>
    </row>
    <row r="777">
      <c r="A777" s="389"/>
      <c r="B777" s="389"/>
      <c r="C777" s="390"/>
      <c r="D777" s="389"/>
      <c r="E777" s="389"/>
      <c r="F777" s="389"/>
      <c r="G777" s="389"/>
      <c r="H777" s="389"/>
    </row>
    <row r="778">
      <c r="A778" s="389"/>
      <c r="B778" s="389"/>
      <c r="C778" s="390"/>
      <c r="D778" s="389"/>
      <c r="E778" s="389"/>
      <c r="F778" s="389"/>
      <c r="G778" s="389"/>
      <c r="H778" s="389"/>
    </row>
    <row r="779">
      <c r="A779" s="389"/>
      <c r="B779" s="389"/>
      <c r="C779" s="390"/>
      <c r="D779" s="389"/>
      <c r="E779" s="389"/>
      <c r="F779" s="389"/>
      <c r="G779" s="389"/>
      <c r="H779" s="389"/>
    </row>
    <row r="780">
      <c r="A780" s="389"/>
      <c r="B780" s="389"/>
      <c r="C780" s="390"/>
      <c r="D780" s="389"/>
      <c r="E780" s="389"/>
      <c r="F780" s="389"/>
      <c r="G780" s="389"/>
      <c r="H780" s="389"/>
    </row>
    <row r="781">
      <c r="A781" s="389"/>
      <c r="B781" s="389"/>
      <c r="C781" s="390"/>
      <c r="D781" s="389"/>
      <c r="E781" s="389"/>
      <c r="F781" s="389"/>
      <c r="G781" s="389"/>
      <c r="H781" s="389"/>
    </row>
    <row r="782">
      <c r="A782" s="389"/>
      <c r="B782" s="389"/>
      <c r="C782" s="390"/>
      <c r="D782" s="389"/>
      <c r="E782" s="389"/>
      <c r="F782" s="389"/>
      <c r="G782" s="389"/>
      <c r="H782" s="389"/>
    </row>
    <row r="783">
      <c r="A783" s="389"/>
      <c r="B783" s="389"/>
      <c r="C783" s="390"/>
      <c r="D783" s="389"/>
      <c r="E783" s="389"/>
      <c r="F783" s="389"/>
      <c r="G783" s="389"/>
      <c r="H783" s="389"/>
    </row>
    <row r="784">
      <c r="A784" s="389"/>
      <c r="B784" s="389"/>
      <c r="C784" s="390"/>
      <c r="D784" s="389"/>
      <c r="E784" s="389"/>
      <c r="F784" s="389"/>
      <c r="G784" s="389"/>
      <c r="H784" s="389"/>
    </row>
    <row r="785">
      <c r="A785" s="389"/>
      <c r="B785" s="389"/>
      <c r="C785" s="390"/>
      <c r="D785" s="389"/>
      <c r="E785" s="389"/>
      <c r="F785" s="389"/>
      <c r="G785" s="389"/>
      <c r="H785" s="389"/>
    </row>
    <row r="786">
      <c r="A786" s="389"/>
      <c r="B786" s="389"/>
      <c r="C786" s="390"/>
      <c r="D786" s="389"/>
      <c r="E786" s="389"/>
      <c r="F786" s="389"/>
      <c r="G786" s="389"/>
      <c r="H786" s="389"/>
    </row>
    <row r="787">
      <c r="A787" s="389"/>
      <c r="B787" s="389"/>
      <c r="C787" s="390"/>
      <c r="D787" s="389"/>
      <c r="E787" s="389"/>
      <c r="F787" s="389"/>
      <c r="G787" s="389"/>
      <c r="H787" s="389"/>
    </row>
    <row r="788">
      <c r="A788" s="389"/>
      <c r="B788" s="389"/>
      <c r="C788" s="390"/>
      <c r="D788" s="389"/>
      <c r="E788" s="389"/>
      <c r="F788" s="389"/>
      <c r="G788" s="389"/>
      <c r="H788" s="389"/>
    </row>
    <row r="789">
      <c r="A789" s="389"/>
      <c r="B789" s="389"/>
      <c r="C789" s="390"/>
      <c r="D789" s="389"/>
      <c r="E789" s="389"/>
      <c r="F789" s="389"/>
      <c r="G789" s="389"/>
      <c r="H789" s="389"/>
    </row>
    <row r="790">
      <c r="A790" s="389"/>
      <c r="B790" s="389"/>
      <c r="C790" s="390"/>
      <c r="D790" s="389"/>
      <c r="E790" s="389"/>
      <c r="F790" s="389"/>
      <c r="G790" s="389"/>
      <c r="H790" s="389"/>
    </row>
    <row r="791">
      <c r="A791" s="389"/>
      <c r="B791" s="389"/>
      <c r="C791" s="390"/>
      <c r="D791" s="389"/>
      <c r="E791" s="389"/>
      <c r="F791" s="389"/>
      <c r="G791" s="389"/>
      <c r="H791" s="389"/>
    </row>
    <row r="792">
      <c r="A792" s="389"/>
      <c r="B792" s="389"/>
      <c r="C792" s="390"/>
      <c r="D792" s="389"/>
      <c r="E792" s="389"/>
      <c r="F792" s="389"/>
      <c r="G792" s="389"/>
      <c r="H792" s="389"/>
    </row>
    <row r="793">
      <c r="A793" s="389"/>
      <c r="B793" s="389"/>
      <c r="C793" s="390"/>
      <c r="D793" s="389"/>
      <c r="E793" s="389"/>
      <c r="F793" s="389"/>
      <c r="G793" s="389"/>
      <c r="H793" s="389"/>
    </row>
    <row r="794">
      <c r="A794" s="389"/>
      <c r="B794" s="389"/>
      <c r="C794" s="390"/>
      <c r="D794" s="389"/>
      <c r="E794" s="389"/>
      <c r="F794" s="389"/>
      <c r="G794" s="389"/>
      <c r="H794" s="389"/>
    </row>
    <row r="795">
      <c r="A795" s="389"/>
      <c r="B795" s="389"/>
      <c r="C795" s="390"/>
      <c r="D795" s="389"/>
      <c r="E795" s="389"/>
      <c r="F795" s="389"/>
      <c r="G795" s="389"/>
      <c r="H795" s="389"/>
    </row>
    <row r="796">
      <c r="A796" s="389"/>
      <c r="B796" s="389"/>
      <c r="C796" s="390"/>
      <c r="D796" s="389"/>
      <c r="E796" s="389"/>
      <c r="F796" s="389"/>
      <c r="G796" s="389"/>
      <c r="H796" s="389"/>
    </row>
    <row r="797">
      <c r="A797" s="389"/>
      <c r="B797" s="389"/>
      <c r="C797" s="390"/>
      <c r="D797" s="389"/>
      <c r="E797" s="389"/>
      <c r="F797" s="389"/>
      <c r="G797" s="389"/>
      <c r="H797" s="389"/>
    </row>
    <row r="798">
      <c r="A798" s="389"/>
      <c r="B798" s="389"/>
      <c r="C798" s="390"/>
      <c r="D798" s="389"/>
      <c r="E798" s="389"/>
      <c r="F798" s="389"/>
      <c r="G798" s="389"/>
      <c r="H798" s="389"/>
    </row>
    <row r="799">
      <c r="A799" s="389"/>
      <c r="B799" s="389"/>
      <c r="C799" s="390"/>
      <c r="D799" s="389"/>
      <c r="E799" s="389"/>
      <c r="F799" s="389"/>
      <c r="G799" s="389"/>
      <c r="H799" s="389"/>
    </row>
    <row r="800">
      <c r="A800" s="389"/>
      <c r="B800" s="389"/>
      <c r="C800" s="390"/>
      <c r="D800" s="389"/>
      <c r="E800" s="389"/>
      <c r="F800" s="389"/>
      <c r="G800" s="389"/>
      <c r="H800" s="389"/>
    </row>
    <row r="801">
      <c r="A801" s="389"/>
      <c r="B801" s="389"/>
      <c r="C801" s="390"/>
      <c r="D801" s="389"/>
      <c r="E801" s="389"/>
      <c r="F801" s="389"/>
      <c r="G801" s="389"/>
      <c r="H801" s="389"/>
    </row>
    <row r="802">
      <c r="A802" s="389"/>
      <c r="B802" s="389"/>
      <c r="C802" s="390"/>
      <c r="D802" s="389"/>
      <c r="E802" s="389"/>
      <c r="F802" s="389"/>
      <c r="G802" s="389"/>
      <c r="H802" s="389"/>
    </row>
    <row r="803">
      <c r="A803" s="389"/>
      <c r="B803" s="389"/>
      <c r="C803" s="390"/>
      <c r="D803" s="389"/>
      <c r="E803" s="389"/>
      <c r="F803" s="389"/>
      <c r="G803" s="389"/>
      <c r="H803" s="389"/>
    </row>
    <row r="804">
      <c r="A804" s="389"/>
      <c r="B804" s="389"/>
      <c r="C804" s="390"/>
      <c r="D804" s="389"/>
      <c r="E804" s="389"/>
      <c r="F804" s="389"/>
      <c r="G804" s="389"/>
      <c r="H804" s="389"/>
    </row>
    <row r="805">
      <c r="A805" s="389"/>
      <c r="B805" s="389"/>
      <c r="C805" s="390"/>
      <c r="D805" s="389"/>
      <c r="E805" s="389"/>
      <c r="F805" s="389"/>
      <c r="G805" s="389"/>
      <c r="H805" s="389"/>
    </row>
    <row r="806">
      <c r="A806" s="389"/>
      <c r="B806" s="389"/>
      <c r="C806" s="390"/>
      <c r="D806" s="389"/>
      <c r="E806" s="389"/>
      <c r="F806" s="389"/>
      <c r="G806" s="389"/>
      <c r="H806" s="389"/>
    </row>
    <row r="807">
      <c r="A807" s="389"/>
      <c r="B807" s="389"/>
      <c r="C807" s="390"/>
      <c r="D807" s="389"/>
      <c r="E807" s="389"/>
      <c r="F807" s="389"/>
      <c r="G807" s="389"/>
      <c r="H807" s="389"/>
    </row>
    <row r="808">
      <c r="A808" s="389"/>
      <c r="B808" s="389"/>
      <c r="C808" s="390"/>
      <c r="D808" s="389"/>
      <c r="E808" s="389"/>
      <c r="F808" s="389"/>
      <c r="G808" s="389"/>
      <c r="H808" s="389"/>
    </row>
    <row r="809">
      <c r="A809" s="389"/>
      <c r="B809" s="389"/>
      <c r="C809" s="390"/>
      <c r="D809" s="389"/>
      <c r="E809" s="389"/>
      <c r="F809" s="389"/>
      <c r="G809" s="389"/>
      <c r="H809" s="389"/>
    </row>
    <row r="810">
      <c r="A810" s="389"/>
      <c r="B810" s="389"/>
      <c r="C810" s="390"/>
      <c r="D810" s="389"/>
      <c r="E810" s="389"/>
      <c r="F810" s="389"/>
      <c r="G810" s="389"/>
      <c r="H810" s="389"/>
    </row>
    <row r="811">
      <c r="A811" s="389"/>
      <c r="B811" s="389"/>
      <c r="C811" s="390"/>
      <c r="D811" s="389"/>
      <c r="E811" s="389"/>
      <c r="F811" s="389"/>
      <c r="G811" s="389"/>
      <c r="H811" s="389"/>
    </row>
    <row r="812">
      <c r="A812" s="389"/>
      <c r="B812" s="389"/>
      <c r="C812" s="390"/>
      <c r="D812" s="389"/>
      <c r="E812" s="389"/>
      <c r="F812" s="389"/>
      <c r="G812" s="389"/>
      <c r="H812" s="389"/>
    </row>
    <row r="813">
      <c r="A813" s="389"/>
      <c r="B813" s="389"/>
      <c r="C813" s="390"/>
      <c r="D813" s="389"/>
      <c r="E813" s="389"/>
      <c r="F813" s="389"/>
      <c r="G813" s="389"/>
      <c r="H813" s="389"/>
    </row>
    <row r="814">
      <c r="A814" s="389"/>
      <c r="B814" s="389"/>
      <c r="C814" s="390"/>
      <c r="D814" s="389"/>
      <c r="E814" s="389"/>
      <c r="F814" s="389"/>
      <c r="G814" s="389"/>
      <c r="H814" s="389"/>
    </row>
    <row r="815">
      <c r="A815" s="389"/>
      <c r="B815" s="389"/>
      <c r="C815" s="390"/>
      <c r="D815" s="389"/>
      <c r="E815" s="389"/>
      <c r="F815" s="389"/>
      <c r="G815" s="389"/>
      <c r="H815" s="389"/>
    </row>
    <row r="816">
      <c r="A816" s="389"/>
      <c r="B816" s="389"/>
      <c r="C816" s="390"/>
      <c r="D816" s="389"/>
      <c r="E816" s="389"/>
      <c r="F816" s="389"/>
      <c r="G816" s="389"/>
      <c r="H816" s="389"/>
    </row>
    <row r="817">
      <c r="A817" s="389"/>
      <c r="B817" s="389"/>
      <c r="C817" s="390"/>
      <c r="D817" s="389"/>
      <c r="E817" s="389"/>
      <c r="F817" s="389"/>
      <c r="G817" s="389"/>
      <c r="H817" s="389"/>
    </row>
    <row r="818">
      <c r="A818" s="389"/>
      <c r="B818" s="389"/>
      <c r="C818" s="390"/>
      <c r="D818" s="389"/>
      <c r="E818" s="389"/>
      <c r="F818" s="389"/>
      <c r="G818" s="389"/>
      <c r="H818" s="389"/>
    </row>
    <row r="819">
      <c r="A819" s="389"/>
      <c r="B819" s="389"/>
      <c r="C819" s="390"/>
      <c r="D819" s="389"/>
      <c r="E819" s="389"/>
      <c r="F819" s="389"/>
      <c r="G819" s="389"/>
      <c r="H819" s="389"/>
    </row>
    <row r="820">
      <c r="A820" s="389"/>
      <c r="B820" s="389"/>
      <c r="C820" s="390"/>
      <c r="D820" s="389"/>
      <c r="E820" s="389"/>
      <c r="F820" s="389"/>
      <c r="G820" s="389"/>
      <c r="H820" s="389"/>
    </row>
    <row r="821">
      <c r="A821" s="389"/>
      <c r="B821" s="389"/>
      <c r="C821" s="390"/>
      <c r="D821" s="389"/>
      <c r="E821" s="389"/>
      <c r="F821" s="389"/>
      <c r="G821" s="389"/>
      <c r="H821" s="389"/>
    </row>
    <row r="822">
      <c r="A822" s="389"/>
      <c r="B822" s="389"/>
      <c r="C822" s="390"/>
      <c r="D822" s="389"/>
      <c r="E822" s="389"/>
      <c r="F822" s="389"/>
      <c r="G822" s="389"/>
      <c r="H822" s="389"/>
    </row>
    <row r="823">
      <c r="A823" s="389"/>
      <c r="B823" s="389"/>
      <c r="C823" s="390"/>
      <c r="D823" s="389"/>
      <c r="E823" s="389"/>
      <c r="F823" s="389"/>
      <c r="G823" s="389"/>
      <c r="H823" s="389"/>
    </row>
    <row r="824">
      <c r="A824" s="389"/>
      <c r="B824" s="389"/>
      <c r="C824" s="390"/>
      <c r="D824" s="389"/>
      <c r="E824" s="389"/>
      <c r="F824" s="389"/>
      <c r="G824" s="389"/>
      <c r="H824" s="389"/>
    </row>
    <row r="825">
      <c r="A825" s="389"/>
      <c r="B825" s="389"/>
      <c r="C825" s="390"/>
      <c r="D825" s="389"/>
      <c r="E825" s="389"/>
      <c r="F825" s="389"/>
      <c r="G825" s="389"/>
      <c r="H825" s="389"/>
    </row>
    <row r="826">
      <c r="A826" s="389"/>
      <c r="B826" s="389"/>
      <c r="C826" s="390"/>
      <c r="D826" s="389"/>
      <c r="E826" s="389"/>
      <c r="F826" s="389"/>
      <c r="G826" s="389"/>
      <c r="H826" s="389"/>
    </row>
    <row r="827">
      <c r="A827" s="389"/>
      <c r="B827" s="389"/>
      <c r="C827" s="390"/>
      <c r="D827" s="389"/>
      <c r="E827" s="389"/>
      <c r="F827" s="389"/>
      <c r="G827" s="389"/>
      <c r="H827" s="389"/>
    </row>
    <row r="828">
      <c r="A828" s="389"/>
      <c r="B828" s="389"/>
      <c r="C828" s="390"/>
      <c r="D828" s="389"/>
      <c r="E828" s="389"/>
      <c r="F828" s="389"/>
      <c r="G828" s="389"/>
      <c r="H828" s="389"/>
    </row>
    <row r="829">
      <c r="A829" s="389"/>
      <c r="B829" s="389"/>
      <c r="C829" s="390"/>
      <c r="D829" s="389"/>
      <c r="E829" s="389"/>
      <c r="F829" s="389"/>
      <c r="G829" s="389"/>
      <c r="H829" s="389"/>
    </row>
    <row r="830">
      <c r="A830" s="389"/>
      <c r="B830" s="389"/>
      <c r="C830" s="390"/>
      <c r="D830" s="389"/>
      <c r="E830" s="389"/>
      <c r="F830" s="389"/>
      <c r="G830" s="389"/>
      <c r="H830" s="389"/>
    </row>
    <row r="831">
      <c r="A831" s="389"/>
      <c r="B831" s="389"/>
      <c r="C831" s="390"/>
      <c r="D831" s="389"/>
      <c r="E831" s="389"/>
      <c r="F831" s="389"/>
      <c r="G831" s="389"/>
      <c r="H831" s="389"/>
    </row>
    <row r="832">
      <c r="A832" s="389"/>
      <c r="B832" s="389"/>
      <c r="C832" s="390"/>
      <c r="D832" s="389"/>
      <c r="E832" s="389"/>
      <c r="F832" s="389"/>
      <c r="G832" s="389"/>
      <c r="H832" s="389"/>
    </row>
    <row r="833">
      <c r="A833" s="389"/>
      <c r="B833" s="389"/>
      <c r="C833" s="390"/>
      <c r="D833" s="389"/>
      <c r="E833" s="389"/>
      <c r="F833" s="389"/>
      <c r="G833" s="389"/>
      <c r="H833" s="389"/>
    </row>
    <row r="834">
      <c r="A834" s="389"/>
      <c r="B834" s="389"/>
      <c r="C834" s="390"/>
      <c r="D834" s="389"/>
      <c r="E834" s="389"/>
      <c r="F834" s="389"/>
      <c r="G834" s="389"/>
      <c r="H834" s="389"/>
    </row>
    <row r="835">
      <c r="A835" s="389"/>
      <c r="B835" s="389"/>
      <c r="C835" s="390"/>
      <c r="D835" s="389"/>
      <c r="E835" s="389"/>
      <c r="F835" s="389"/>
      <c r="G835" s="389"/>
      <c r="H835" s="389"/>
    </row>
    <row r="836">
      <c r="A836" s="389"/>
      <c r="B836" s="389"/>
      <c r="C836" s="390"/>
      <c r="D836" s="389"/>
      <c r="E836" s="389"/>
      <c r="F836" s="389"/>
      <c r="G836" s="389"/>
      <c r="H836" s="389"/>
    </row>
    <row r="837">
      <c r="A837" s="389"/>
      <c r="B837" s="389"/>
      <c r="C837" s="390"/>
      <c r="D837" s="389"/>
      <c r="E837" s="389"/>
      <c r="F837" s="389"/>
      <c r="G837" s="389"/>
      <c r="H837" s="389"/>
    </row>
    <row r="838">
      <c r="A838" s="389"/>
      <c r="B838" s="389"/>
      <c r="C838" s="390"/>
      <c r="D838" s="389"/>
      <c r="E838" s="389"/>
      <c r="F838" s="389"/>
      <c r="G838" s="389"/>
      <c r="H838" s="389"/>
    </row>
    <row r="839">
      <c r="A839" s="389"/>
      <c r="B839" s="389"/>
      <c r="C839" s="390"/>
      <c r="D839" s="389"/>
      <c r="E839" s="389"/>
      <c r="F839" s="389"/>
      <c r="G839" s="389"/>
      <c r="H839" s="389"/>
    </row>
    <row r="840">
      <c r="A840" s="389"/>
      <c r="B840" s="389"/>
      <c r="C840" s="390"/>
      <c r="D840" s="389"/>
      <c r="E840" s="389"/>
      <c r="F840" s="389"/>
      <c r="G840" s="389"/>
      <c r="H840" s="389"/>
    </row>
    <row r="841">
      <c r="A841" s="389"/>
      <c r="B841" s="389"/>
      <c r="C841" s="390"/>
      <c r="D841" s="389"/>
      <c r="E841" s="389"/>
      <c r="F841" s="389"/>
      <c r="G841" s="389"/>
      <c r="H841" s="389"/>
    </row>
    <row r="842">
      <c r="A842" s="389"/>
      <c r="B842" s="389"/>
      <c r="C842" s="390"/>
      <c r="D842" s="389"/>
      <c r="E842" s="389"/>
      <c r="F842" s="389"/>
      <c r="G842" s="389"/>
      <c r="H842" s="389"/>
    </row>
    <row r="843">
      <c r="A843" s="389"/>
      <c r="B843" s="389"/>
      <c r="C843" s="390"/>
      <c r="D843" s="389"/>
      <c r="E843" s="389"/>
      <c r="F843" s="389"/>
      <c r="G843" s="389"/>
      <c r="H843" s="389"/>
    </row>
    <row r="844">
      <c r="A844" s="389"/>
      <c r="B844" s="389"/>
      <c r="C844" s="390"/>
      <c r="D844" s="389"/>
      <c r="E844" s="389"/>
      <c r="F844" s="389"/>
      <c r="G844" s="389"/>
      <c r="H844" s="389"/>
    </row>
    <row r="845">
      <c r="A845" s="389"/>
      <c r="B845" s="389"/>
      <c r="C845" s="390"/>
      <c r="D845" s="389"/>
      <c r="E845" s="389"/>
      <c r="F845" s="389"/>
      <c r="G845" s="389"/>
      <c r="H845" s="389"/>
    </row>
    <row r="846">
      <c r="A846" s="389"/>
      <c r="B846" s="389"/>
      <c r="C846" s="390"/>
      <c r="D846" s="389"/>
      <c r="E846" s="389"/>
      <c r="F846" s="389"/>
      <c r="G846" s="389"/>
      <c r="H846" s="389"/>
    </row>
    <row r="847">
      <c r="A847" s="389"/>
      <c r="B847" s="389"/>
      <c r="C847" s="390"/>
      <c r="D847" s="389"/>
      <c r="E847" s="389"/>
      <c r="F847" s="389"/>
      <c r="G847" s="389"/>
      <c r="H847" s="389"/>
    </row>
    <row r="848">
      <c r="A848" s="389"/>
      <c r="B848" s="389"/>
      <c r="C848" s="390"/>
      <c r="D848" s="389"/>
      <c r="E848" s="389"/>
      <c r="F848" s="389"/>
      <c r="G848" s="389"/>
      <c r="H848" s="389"/>
    </row>
    <row r="849">
      <c r="A849" s="389"/>
      <c r="B849" s="389"/>
      <c r="C849" s="390"/>
      <c r="D849" s="389"/>
      <c r="E849" s="389"/>
      <c r="F849" s="389"/>
      <c r="G849" s="389"/>
      <c r="H849" s="389"/>
    </row>
    <row r="850">
      <c r="A850" s="389"/>
      <c r="B850" s="389"/>
      <c r="C850" s="390"/>
      <c r="D850" s="389"/>
      <c r="E850" s="389"/>
      <c r="F850" s="389"/>
      <c r="G850" s="389"/>
      <c r="H850" s="389"/>
    </row>
    <row r="851">
      <c r="A851" s="389"/>
      <c r="B851" s="389"/>
      <c r="C851" s="390"/>
      <c r="D851" s="389"/>
      <c r="E851" s="389"/>
      <c r="F851" s="389"/>
      <c r="G851" s="389"/>
      <c r="H851" s="389"/>
    </row>
    <row r="852">
      <c r="A852" s="389"/>
      <c r="B852" s="389"/>
      <c r="C852" s="390"/>
      <c r="D852" s="389"/>
      <c r="E852" s="389"/>
      <c r="F852" s="389"/>
      <c r="G852" s="389"/>
      <c r="H852" s="389"/>
    </row>
    <row r="853">
      <c r="A853" s="389"/>
      <c r="B853" s="389"/>
      <c r="C853" s="390"/>
      <c r="D853" s="389"/>
      <c r="E853" s="389"/>
      <c r="F853" s="389"/>
      <c r="G853" s="389"/>
      <c r="H853" s="389"/>
    </row>
    <row r="854">
      <c r="A854" s="389"/>
      <c r="B854" s="389"/>
      <c r="C854" s="390"/>
      <c r="D854" s="389"/>
      <c r="E854" s="389"/>
      <c r="F854" s="389"/>
      <c r="G854" s="389"/>
      <c r="H854" s="389"/>
    </row>
    <row r="855">
      <c r="A855" s="389"/>
      <c r="B855" s="389"/>
      <c r="C855" s="390"/>
      <c r="D855" s="389"/>
      <c r="E855" s="389"/>
      <c r="F855" s="389"/>
      <c r="G855" s="389"/>
      <c r="H855" s="389"/>
    </row>
    <row r="856">
      <c r="A856" s="389"/>
      <c r="B856" s="389"/>
      <c r="C856" s="390"/>
      <c r="D856" s="389"/>
      <c r="E856" s="389"/>
      <c r="F856" s="389"/>
      <c r="G856" s="389"/>
      <c r="H856" s="389"/>
    </row>
    <row r="857">
      <c r="A857" s="389"/>
      <c r="B857" s="389"/>
      <c r="C857" s="390"/>
      <c r="D857" s="389"/>
      <c r="E857" s="389"/>
      <c r="F857" s="389"/>
      <c r="G857" s="389"/>
      <c r="H857" s="389"/>
    </row>
    <row r="858">
      <c r="A858" s="389"/>
      <c r="B858" s="389"/>
      <c r="C858" s="390"/>
      <c r="D858" s="389"/>
      <c r="E858" s="389"/>
      <c r="F858" s="389"/>
      <c r="G858" s="389"/>
      <c r="H858" s="389"/>
    </row>
    <row r="859">
      <c r="A859" s="389"/>
      <c r="B859" s="389"/>
      <c r="C859" s="390"/>
      <c r="D859" s="389"/>
      <c r="E859" s="389"/>
      <c r="F859" s="389"/>
      <c r="G859" s="389"/>
      <c r="H859" s="389"/>
    </row>
    <row r="860">
      <c r="A860" s="389"/>
      <c r="B860" s="389"/>
      <c r="C860" s="390"/>
      <c r="D860" s="389"/>
      <c r="E860" s="389"/>
      <c r="F860" s="389"/>
      <c r="G860" s="389"/>
      <c r="H860" s="389"/>
    </row>
    <row r="861">
      <c r="A861" s="389"/>
      <c r="B861" s="389"/>
      <c r="C861" s="390"/>
      <c r="D861" s="389"/>
      <c r="E861" s="389"/>
      <c r="F861" s="389"/>
      <c r="G861" s="389"/>
      <c r="H861" s="389"/>
    </row>
    <row r="862">
      <c r="A862" s="389"/>
      <c r="B862" s="389"/>
      <c r="C862" s="390"/>
      <c r="D862" s="389"/>
      <c r="E862" s="389"/>
      <c r="F862" s="389"/>
      <c r="G862" s="389"/>
      <c r="H862" s="389"/>
    </row>
    <row r="863">
      <c r="A863" s="389"/>
      <c r="B863" s="389"/>
      <c r="C863" s="390"/>
      <c r="D863" s="389"/>
      <c r="E863" s="389"/>
      <c r="F863" s="389"/>
      <c r="G863" s="389"/>
      <c r="H863" s="389"/>
    </row>
    <row r="864">
      <c r="A864" s="389"/>
      <c r="B864" s="389"/>
      <c r="C864" s="390"/>
      <c r="D864" s="389"/>
      <c r="E864" s="389"/>
      <c r="F864" s="389"/>
      <c r="G864" s="389"/>
      <c r="H864" s="389"/>
    </row>
    <row r="865">
      <c r="A865" s="389"/>
      <c r="B865" s="389"/>
      <c r="C865" s="390"/>
      <c r="D865" s="389"/>
      <c r="E865" s="389"/>
      <c r="F865" s="389"/>
      <c r="G865" s="389"/>
      <c r="H865" s="389"/>
    </row>
    <row r="866">
      <c r="A866" s="389"/>
      <c r="B866" s="389"/>
      <c r="C866" s="390"/>
      <c r="D866" s="389"/>
      <c r="E866" s="389"/>
      <c r="F866" s="389"/>
      <c r="G866" s="389"/>
      <c r="H866" s="389"/>
    </row>
    <row r="867">
      <c r="A867" s="389"/>
      <c r="B867" s="389"/>
      <c r="C867" s="390"/>
      <c r="D867" s="389"/>
      <c r="E867" s="389"/>
      <c r="F867" s="389"/>
      <c r="G867" s="389"/>
      <c r="H867" s="389"/>
    </row>
    <row r="868">
      <c r="A868" s="389"/>
      <c r="B868" s="389"/>
      <c r="C868" s="390"/>
      <c r="D868" s="389"/>
      <c r="E868" s="389"/>
      <c r="F868" s="389"/>
      <c r="G868" s="389"/>
      <c r="H868" s="389"/>
    </row>
    <row r="869">
      <c r="A869" s="389"/>
      <c r="B869" s="389"/>
      <c r="C869" s="390"/>
      <c r="D869" s="389"/>
      <c r="E869" s="389"/>
      <c r="F869" s="389"/>
      <c r="G869" s="389"/>
      <c r="H869" s="389"/>
    </row>
    <row r="870">
      <c r="A870" s="389"/>
      <c r="B870" s="389"/>
      <c r="C870" s="390"/>
      <c r="D870" s="389"/>
      <c r="E870" s="389"/>
      <c r="F870" s="389"/>
      <c r="G870" s="389"/>
      <c r="H870" s="389"/>
    </row>
    <row r="871">
      <c r="A871" s="389"/>
      <c r="B871" s="389"/>
      <c r="C871" s="390"/>
      <c r="D871" s="389"/>
      <c r="E871" s="389"/>
      <c r="F871" s="389"/>
      <c r="G871" s="389"/>
      <c r="H871" s="389"/>
    </row>
    <row r="872">
      <c r="A872" s="389"/>
      <c r="B872" s="389"/>
      <c r="C872" s="390"/>
      <c r="D872" s="389"/>
      <c r="E872" s="389"/>
      <c r="F872" s="389"/>
      <c r="G872" s="389"/>
      <c r="H872" s="389"/>
    </row>
    <row r="873">
      <c r="A873" s="389"/>
      <c r="B873" s="389"/>
      <c r="C873" s="390"/>
      <c r="D873" s="389"/>
      <c r="E873" s="389"/>
      <c r="F873" s="389"/>
      <c r="G873" s="389"/>
      <c r="H873" s="389"/>
    </row>
    <row r="874">
      <c r="A874" s="389"/>
      <c r="B874" s="389"/>
      <c r="C874" s="390"/>
      <c r="D874" s="389"/>
      <c r="E874" s="389"/>
      <c r="F874" s="389"/>
      <c r="G874" s="389"/>
      <c r="H874" s="389"/>
    </row>
    <row r="875">
      <c r="A875" s="389"/>
      <c r="B875" s="389"/>
      <c r="C875" s="390"/>
      <c r="D875" s="389"/>
      <c r="E875" s="389"/>
      <c r="F875" s="389"/>
      <c r="G875" s="389"/>
      <c r="H875" s="389"/>
    </row>
    <row r="876">
      <c r="A876" s="389"/>
      <c r="B876" s="389"/>
      <c r="C876" s="390"/>
      <c r="D876" s="389"/>
      <c r="E876" s="389"/>
      <c r="F876" s="389"/>
      <c r="G876" s="389"/>
      <c r="H876" s="389"/>
    </row>
    <row r="877">
      <c r="A877" s="389"/>
      <c r="B877" s="389"/>
      <c r="C877" s="390"/>
      <c r="D877" s="389"/>
      <c r="E877" s="389"/>
      <c r="F877" s="389"/>
      <c r="G877" s="389"/>
      <c r="H877" s="389"/>
    </row>
    <row r="878">
      <c r="A878" s="389"/>
      <c r="B878" s="389"/>
      <c r="C878" s="390"/>
      <c r="D878" s="389"/>
      <c r="E878" s="389"/>
      <c r="F878" s="389"/>
      <c r="G878" s="389"/>
      <c r="H878" s="389"/>
    </row>
    <row r="879">
      <c r="A879" s="389"/>
      <c r="B879" s="389"/>
      <c r="C879" s="390"/>
      <c r="D879" s="389"/>
      <c r="E879" s="389"/>
      <c r="F879" s="389"/>
      <c r="G879" s="389"/>
      <c r="H879" s="389"/>
    </row>
    <row r="880">
      <c r="A880" s="389"/>
      <c r="B880" s="389"/>
      <c r="C880" s="390"/>
      <c r="D880" s="389"/>
      <c r="E880" s="389"/>
      <c r="F880" s="389"/>
      <c r="G880" s="389"/>
      <c r="H880" s="389"/>
    </row>
    <row r="881">
      <c r="A881" s="389"/>
      <c r="B881" s="389"/>
      <c r="C881" s="390"/>
      <c r="D881" s="389"/>
      <c r="E881" s="389"/>
      <c r="F881" s="389"/>
      <c r="G881" s="389"/>
      <c r="H881" s="389"/>
    </row>
    <row r="882">
      <c r="A882" s="389"/>
      <c r="B882" s="389"/>
      <c r="C882" s="390"/>
      <c r="D882" s="389"/>
      <c r="E882" s="389"/>
      <c r="F882" s="389"/>
      <c r="G882" s="389"/>
      <c r="H882" s="389"/>
    </row>
    <row r="883">
      <c r="A883" s="389"/>
      <c r="B883" s="389"/>
      <c r="C883" s="390"/>
      <c r="D883" s="389"/>
      <c r="E883" s="389"/>
      <c r="F883" s="389"/>
      <c r="G883" s="389"/>
      <c r="H883" s="389"/>
    </row>
    <row r="884">
      <c r="A884" s="389"/>
      <c r="B884" s="389"/>
      <c r="C884" s="390"/>
      <c r="D884" s="389"/>
      <c r="E884" s="389"/>
      <c r="F884" s="389"/>
      <c r="G884" s="389"/>
      <c r="H884" s="389"/>
    </row>
    <row r="885">
      <c r="A885" s="389"/>
      <c r="B885" s="389"/>
      <c r="C885" s="390"/>
      <c r="D885" s="389"/>
      <c r="E885" s="389"/>
      <c r="F885" s="389"/>
      <c r="G885" s="389"/>
      <c r="H885" s="389"/>
    </row>
    <row r="886">
      <c r="A886" s="389"/>
      <c r="B886" s="389"/>
      <c r="C886" s="390"/>
      <c r="D886" s="389"/>
      <c r="E886" s="389"/>
      <c r="F886" s="389"/>
      <c r="G886" s="389"/>
      <c r="H886" s="389"/>
    </row>
    <row r="887">
      <c r="A887" s="389"/>
      <c r="B887" s="389"/>
      <c r="C887" s="390"/>
      <c r="D887" s="389"/>
      <c r="E887" s="389"/>
      <c r="F887" s="389"/>
      <c r="G887" s="389"/>
      <c r="H887" s="389"/>
    </row>
    <row r="888">
      <c r="A888" s="389"/>
      <c r="B888" s="389"/>
      <c r="C888" s="390"/>
      <c r="D888" s="389"/>
      <c r="E888" s="389"/>
      <c r="F888" s="389"/>
      <c r="G888" s="389"/>
      <c r="H888" s="389"/>
    </row>
    <row r="889">
      <c r="A889" s="389"/>
      <c r="B889" s="389"/>
      <c r="C889" s="390"/>
      <c r="D889" s="389"/>
      <c r="E889" s="389"/>
      <c r="F889" s="389"/>
      <c r="G889" s="389"/>
      <c r="H889" s="389"/>
    </row>
    <row r="890">
      <c r="A890" s="389"/>
      <c r="B890" s="389"/>
      <c r="C890" s="390"/>
      <c r="D890" s="389"/>
      <c r="E890" s="389"/>
      <c r="F890" s="389"/>
      <c r="G890" s="389"/>
      <c r="H890" s="389"/>
    </row>
    <row r="891">
      <c r="A891" s="389"/>
      <c r="B891" s="389"/>
      <c r="C891" s="390"/>
      <c r="D891" s="389"/>
      <c r="E891" s="389"/>
      <c r="F891" s="389"/>
      <c r="G891" s="389"/>
      <c r="H891" s="389"/>
    </row>
    <row r="892">
      <c r="A892" s="389"/>
      <c r="B892" s="389"/>
      <c r="C892" s="390"/>
      <c r="D892" s="389"/>
      <c r="E892" s="389"/>
      <c r="F892" s="389"/>
      <c r="G892" s="389"/>
      <c r="H892" s="389"/>
    </row>
    <row r="893">
      <c r="A893" s="389"/>
      <c r="B893" s="389"/>
      <c r="C893" s="390"/>
      <c r="D893" s="389"/>
      <c r="E893" s="389"/>
      <c r="F893" s="389"/>
      <c r="G893" s="389"/>
      <c r="H893" s="389"/>
    </row>
    <row r="894">
      <c r="A894" s="389"/>
      <c r="B894" s="389"/>
      <c r="C894" s="390"/>
      <c r="D894" s="389"/>
      <c r="E894" s="389"/>
      <c r="F894" s="389"/>
      <c r="G894" s="389"/>
      <c r="H894" s="389"/>
    </row>
    <row r="895">
      <c r="A895" s="389"/>
      <c r="B895" s="389"/>
      <c r="C895" s="390"/>
      <c r="D895" s="389"/>
      <c r="E895" s="389"/>
      <c r="F895" s="389"/>
      <c r="G895" s="389"/>
      <c r="H895" s="389"/>
    </row>
    <row r="896">
      <c r="A896" s="389"/>
      <c r="B896" s="389"/>
      <c r="C896" s="390"/>
      <c r="D896" s="389"/>
      <c r="E896" s="389"/>
      <c r="F896" s="389"/>
      <c r="G896" s="389"/>
      <c r="H896" s="389"/>
    </row>
    <row r="897">
      <c r="A897" s="389"/>
      <c r="B897" s="389"/>
      <c r="C897" s="390"/>
      <c r="D897" s="389"/>
      <c r="E897" s="389"/>
      <c r="F897" s="389"/>
      <c r="G897" s="389"/>
      <c r="H897" s="389"/>
    </row>
    <row r="898">
      <c r="A898" s="389"/>
      <c r="B898" s="389"/>
      <c r="C898" s="390"/>
      <c r="D898" s="389"/>
      <c r="E898" s="389"/>
      <c r="F898" s="389"/>
      <c r="G898" s="389"/>
      <c r="H898" s="389"/>
    </row>
    <row r="899">
      <c r="A899" s="389"/>
      <c r="B899" s="389"/>
      <c r="C899" s="390"/>
      <c r="D899" s="389"/>
      <c r="E899" s="389"/>
      <c r="F899" s="389"/>
      <c r="G899" s="389"/>
      <c r="H899" s="389"/>
    </row>
    <row r="900">
      <c r="A900" s="389"/>
      <c r="B900" s="389"/>
      <c r="C900" s="390"/>
      <c r="D900" s="389"/>
      <c r="E900" s="389"/>
      <c r="F900" s="389"/>
      <c r="G900" s="389"/>
      <c r="H900" s="389"/>
    </row>
    <row r="901">
      <c r="A901" s="389"/>
      <c r="B901" s="389"/>
      <c r="C901" s="390"/>
      <c r="D901" s="389"/>
      <c r="E901" s="389"/>
      <c r="F901" s="389"/>
      <c r="G901" s="389"/>
      <c r="H901" s="389"/>
    </row>
    <row r="902">
      <c r="A902" s="389"/>
      <c r="B902" s="389"/>
      <c r="C902" s="390"/>
      <c r="D902" s="389"/>
      <c r="E902" s="389"/>
      <c r="F902" s="389"/>
      <c r="G902" s="389"/>
      <c r="H902" s="389"/>
    </row>
    <row r="903">
      <c r="A903" s="389"/>
      <c r="B903" s="389"/>
      <c r="C903" s="390"/>
      <c r="D903" s="389"/>
      <c r="E903" s="389"/>
      <c r="F903" s="389"/>
      <c r="G903" s="389"/>
      <c r="H903" s="389"/>
    </row>
    <row r="904">
      <c r="A904" s="389"/>
      <c r="B904" s="389"/>
      <c r="C904" s="390"/>
      <c r="D904" s="389"/>
      <c r="E904" s="389"/>
      <c r="F904" s="389"/>
      <c r="G904" s="389"/>
      <c r="H904" s="389"/>
    </row>
    <row r="905">
      <c r="A905" s="389"/>
      <c r="B905" s="389"/>
      <c r="C905" s="390"/>
      <c r="D905" s="389"/>
      <c r="E905" s="389"/>
      <c r="F905" s="389"/>
      <c r="G905" s="389"/>
      <c r="H905" s="389"/>
    </row>
    <row r="906">
      <c r="A906" s="389"/>
      <c r="B906" s="389"/>
      <c r="C906" s="390"/>
      <c r="D906" s="389"/>
      <c r="E906" s="389"/>
      <c r="F906" s="389"/>
      <c r="G906" s="389"/>
      <c r="H906" s="389"/>
    </row>
    <row r="907">
      <c r="A907" s="389"/>
      <c r="B907" s="389"/>
      <c r="C907" s="390"/>
      <c r="D907" s="389"/>
      <c r="E907" s="389"/>
      <c r="F907" s="389"/>
      <c r="G907" s="389"/>
      <c r="H907" s="389"/>
    </row>
    <row r="908">
      <c r="A908" s="389"/>
      <c r="B908" s="389"/>
      <c r="C908" s="390"/>
      <c r="D908" s="389"/>
      <c r="E908" s="389"/>
      <c r="F908" s="389"/>
      <c r="G908" s="389"/>
      <c r="H908" s="389"/>
    </row>
    <row r="909">
      <c r="A909" s="389"/>
      <c r="B909" s="389"/>
      <c r="C909" s="390"/>
      <c r="D909" s="389"/>
      <c r="E909" s="389"/>
      <c r="F909" s="389"/>
      <c r="G909" s="389"/>
      <c r="H909" s="389"/>
    </row>
    <row r="910">
      <c r="A910" s="389"/>
      <c r="B910" s="389"/>
      <c r="C910" s="390"/>
      <c r="D910" s="389"/>
      <c r="E910" s="389"/>
      <c r="F910" s="389"/>
      <c r="G910" s="389"/>
      <c r="H910" s="389"/>
    </row>
    <row r="911">
      <c r="A911" s="389"/>
      <c r="B911" s="389"/>
      <c r="C911" s="390"/>
      <c r="D911" s="389"/>
      <c r="E911" s="389"/>
      <c r="F911" s="389"/>
      <c r="G911" s="389"/>
      <c r="H911" s="389"/>
    </row>
    <row r="912">
      <c r="A912" s="389"/>
      <c r="B912" s="389"/>
      <c r="C912" s="390"/>
      <c r="D912" s="389"/>
      <c r="E912" s="389"/>
      <c r="F912" s="389"/>
      <c r="G912" s="389"/>
      <c r="H912" s="389"/>
    </row>
    <row r="913">
      <c r="A913" s="389"/>
      <c r="B913" s="389"/>
      <c r="C913" s="390"/>
      <c r="D913" s="389"/>
      <c r="E913" s="389"/>
      <c r="F913" s="389"/>
      <c r="G913" s="389"/>
      <c r="H913" s="389"/>
    </row>
    <row r="914">
      <c r="A914" s="389"/>
      <c r="B914" s="389"/>
      <c r="C914" s="390"/>
      <c r="D914" s="389"/>
      <c r="E914" s="389"/>
      <c r="F914" s="389"/>
      <c r="G914" s="389"/>
      <c r="H914" s="389"/>
    </row>
    <row r="915">
      <c r="A915" s="389"/>
      <c r="B915" s="389"/>
      <c r="C915" s="390"/>
      <c r="D915" s="389"/>
      <c r="E915" s="389"/>
      <c r="F915" s="389"/>
      <c r="G915" s="389"/>
      <c r="H915" s="389"/>
    </row>
    <row r="916">
      <c r="A916" s="389"/>
      <c r="B916" s="389"/>
      <c r="C916" s="390"/>
      <c r="D916" s="389"/>
      <c r="E916" s="389"/>
      <c r="F916" s="389"/>
      <c r="G916" s="389"/>
      <c r="H916" s="389"/>
    </row>
    <row r="917">
      <c r="A917" s="389"/>
      <c r="B917" s="389"/>
      <c r="C917" s="390"/>
      <c r="D917" s="389"/>
      <c r="E917" s="389"/>
      <c r="F917" s="389"/>
      <c r="G917" s="389"/>
      <c r="H917" s="389"/>
    </row>
    <row r="918">
      <c r="A918" s="389"/>
      <c r="B918" s="389"/>
      <c r="C918" s="390"/>
      <c r="D918" s="389"/>
      <c r="E918" s="389"/>
      <c r="F918" s="389"/>
      <c r="G918" s="389"/>
      <c r="H918" s="389"/>
    </row>
    <row r="919">
      <c r="A919" s="389"/>
      <c r="B919" s="389"/>
      <c r="C919" s="390"/>
      <c r="D919" s="389"/>
      <c r="E919" s="389"/>
      <c r="F919" s="389"/>
      <c r="G919" s="389"/>
      <c r="H919" s="389"/>
    </row>
    <row r="920">
      <c r="A920" s="389"/>
      <c r="B920" s="389"/>
      <c r="C920" s="390"/>
      <c r="D920" s="389"/>
      <c r="E920" s="389"/>
      <c r="F920" s="389"/>
      <c r="G920" s="389"/>
      <c r="H920" s="389"/>
    </row>
    <row r="921">
      <c r="A921" s="389"/>
      <c r="B921" s="389"/>
      <c r="C921" s="390"/>
      <c r="D921" s="389"/>
      <c r="E921" s="389"/>
      <c r="F921" s="389"/>
      <c r="G921" s="389"/>
      <c r="H921" s="389"/>
    </row>
    <row r="922">
      <c r="A922" s="389"/>
      <c r="B922" s="389"/>
      <c r="C922" s="390"/>
      <c r="D922" s="389"/>
      <c r="E922" s="389"/>
      <c r="F922" s="389"/>
      <c r="G922" s="389"/>
      <c r="H922" s="389"/>
    </row>
    <row r="923">
      <c r="A923" s="389"/>
      <c r="B923" s="389"/>
      <c r="C923" s="390"/>
      <c r="D923" s="389"/>
      <c r="E923" s="389"/>
      <c r="F923" s="389"/>
      <c r="G923" s="389"/>
      <c r="H923" s="389"/>
    </row>
    <row r="924">
      <c r="A924" s="389"/>
      <c r="B924" s="389"/>
      <c r="C924" s="390"/>
      <c r="D924" s="389"/>
      <c r="E924" s="389"/>
      <c r="F924" s="389"/>
      <c r="G924" s="389"/>
      <c r="H924" s="389"/>
    </row>
    <row r="925">
      <c r="A925" s="389"/>
      <c r="B925" s="389"/>
      <c r="C925" s="390"/>
      <c r="D925" s="389"/>
      <c r="E925" s="389"/>
      <c r="F925" s="389"/>
      <c r="G925" s="389"/>
      <c r="H925" s="389"/>
    </row>
    <row r="926">
      <c r="A926" s="389"/>
      <c r="B926" s="389"/>
      <c r="C926" s="390"/>
      <c r="D926" s="389"/>
      <c r="E926" s="389"/>
      <c r="F926" s="389"/>
      <c r="G926" s="389"/>
      <c r="H926" s="389"/>
    </row>
    <row r="927">
      <c r="A927" s="389"/>
      <c r="B927" s="389"/>
      <c r="C927" s="390"/>
      <c r="D927" s="389"/>
      <c r="E927" s="389"/>
      <c r="F927" s="389"/>
      <c r="G927" s="389"/>
      <c r="H927" s="389"/>
    </row>
    <row r="928">
      <c r="A928" s="389"/>
      <c r="B928" s="389"/>
      <c r="C928" s="390"/>
      <c r="D928" s="389"/>
      <c r="E928" s="389"/>
      <c r="F928" s="389"/>
      <c r="G928" s="389"/>
      <c r="H928" s="389"/>
    </row>
    <row r="929">
      <c r="A929" s="389"/>
      <c r="B929" s="389"/>
      <c r="C929" s="390"/>
      <c r="D929" s="389"/>
      <c r="E929" s="389"/>
      <c r="F929" s="389"/>
      <c r="G929" s="389"/>
      <c r="H929" s="389"/>
    </row>
    <row r="930">
      <c r="A930" s="389"/>
      <c r="B930" s="389"/>
      <c r="C930" s="390"/>
      <c r="D930" s="389"/>
      <c r="E930" s="389"/>
      <c r="F930" s="389"/>
      <c r="G930" s="389"/>
      <c r="H930" s="389"/>
    </row>
    <row r="931">
      <c r="A931" s="389"/>
      <c r="B931" s="389"/>
      <c r="C931" s="390"/>
      <c r="D931" s="389"/>
      <c r="E931" s="389"/>
      <c r="F931" s="389"/>
      <c r="G931" s="389"/>
      <c r="H931" s="389"/>
    </row>
    <row r="932">
      <c r="A932" s="389"/>
      <c r="B932" s="389"/>
      <c r="C932" s="390"/>
      <c r="D932" s="389"/>
      <c r="E932" s="389"/>
      <c r="F932" s="389"/>
      <c r="G932" s="389"/>
      <c r="H932" s="389"/>
    </row>
    <row r="933">
      <c r="A933" s="389"/>
      <c r="B933" s="389"/>
      <c r="C933" s="390"/>
      <c r="D933" s="389"/>
      <c r="E933" s="389"/>
      <c r="F933" s="389"/>
      <c r="G933" s="389"/>
      <c r="H933" s="389"/>
    </row>
    <row r="934">
      <c r="A934" s="389"/>
      <c r="B934" s="389"/>
      <c r="C934" s="390"/>
      <c r="D934" s="389"/>
      <c r="E934" s="389"/>
      <c r="F934" s="389"/>
      <c r="G934" s="389"/>
      <c r="H934" s="389"/>
    </row>
    <row r="935">
      <c r="A935" s="389"/>
      <c r="B935" s="389"/>
      <c r="C935" s="390"/>
      <c r="D935" s="389"/>
      <c r="E935" s="389"/>
      <c r="F935" s="389"/>
      <c r="G935" s="389"/>
      <c r="H935" s="389"/>
    </row>
    <row r="936">
      <c r="A936" s="389"/>
      <c r="B936" s="389"/>
      <c r="C936" s="390"/>
      <c r="D936" s="389"/>
      <c r="E936" s="389"/>
      <c r="F936" s="389"/>
      <c r="G936" s="389"/>
      <c r="H936" s="389"/>
    </row>
    <row r="937">
      <c r="A937" s="389"/>
      <c r="B937" s="389"/>
      <c r="C937" s="390"/>
      <c r="D937" s="389"/>
      <c r="E937" s="389"/>
      <c r="F937" s="389"/>
      <c r="G937" s="389"/>
      <c r="H937" s="389"/>
    </row>
    <row r="938">
      <c r="A938" s="389"/>
      <c r="B938" s="389"/>
      <c r="C938" s="390"/>
      <c r="D938" s="389"/>
      <c r="E938" s="389"/>
      <c r="F938" s="389"/>
      <c r="G938" s="389"/>
      <c r="H938" s="389"/>
    </row>
    <row r="939">
      <c r="A939" s="389"/>
      <c r="B939" s="389"/>
      <c r="C939" s="390"/>
      <c r="D939" s="389"/>
      <c r="E939" s="389"/>
      <c r="F939" s="389"/>
      <c r="G939" s="389"/>
      <c r="H939" s="389"/>
    </row>
    <row r="940">
      <c r="A940" s="389"/>
      <c r="B940" s="389"/>
      <c r="C940" s="390"/>
      <c r="D940" s="389"/>
      <c r="E940" s="389"/>
      <c r="F940" s="389"/>
      <c r="G940" s="389"/>
      <c r="H940" s="389"/>
    </row>
    <row r="941">
      <c r="A941" s="389"/>
      <c r="B941" s="389"/>
      <c r="C941" s="390"/>
      <c r="D941" s="389"/>
      <c r="E941" s="389"/>
      <c r="F941" s="389"/>
      <c r="G941" s="389"/>
      <c r="H941" s="389"/>
    </row>
    <row r="942">
      <c r="A942" s="389"/>
      <c r="B942" s="389"/>
      <c r="C942" s="390"/>
      <c r="D942" s="389"/>
      <c r="E942" s="389"/>
      <c r="F942" s="389"/>
      <c r="G942" s="389"/>
      <c r="H942" s="389"/>
    </row>
    <row r="943">
      <c r="A943" s="389"/>
      <c r="B943" s="389"/>
      <c r="C943" s="390"/>
      <c r="D943" s="389"/>
      <c r="E943" s="389"/>
      <c r="F943" s="389"/>
      <c r="G943" s="389"/>
      <c r="H943" s="389"/>
    </row>
    <row r="944">
      <c r="A944" s="389"/>
      <c r="B944" s="389"/>
      <c r="C944" s="390"/>
      <c r="D944" s="389"/>
      <c r="E944" s="389"/>
      <c r="F944" s="389"/>
      <c r="G944" s="389"/>
      <c r="H944" s="389"/>
    </row>
    <row r="945">
      <c r="A945" s="389"/>
      <c r="B945" s="389"/>
      <c r="C945" s="390"/>
      <c r="D945" s="389"/>
      <c r="E945" s="389"/>
      <c r="F945" s="389"/>
      <c r="G945" s="389"/>
      <c r="H945" s="389"/>
    </row>
    <row r="946">
      <c r="A946" s="389"/>
      <c r="B946" s="389"/>
      <c r="C946" s="390"/>
      <c r="D946" s="389"/>
      <c r="E946" s="389"/>
      <c r="F946" s="389"/>
      <c r="G946" s="389"/>
      <c r="H946" s="389"/>
    </row>
    <row r="947">
      <c r="A947" s="389"/>
      <c r="B947" s="389"/>
      <c r="C947" s="390"/>
      <c r="D947" s="389"/>
      <c r="E947" s="389"/>
      <c r="F947" s="389"/>
      <c r="G947" s="389"/>
      <c r="H947" s="389"/>
    </row>
    <row r="948">
      <c r="A948" s="389"/>
      <c r="B948" s="389"/>
      <c r="C948" s="390"/>
      <c r="D948" s="389"/>
      <c r="E948" s="389"/>
      <c r="F948" s="389"/>
      <c r="G948" s="389"/>
      <c r="H948" s="389"/>
    </row>
    <row r="949">
      <c r="A949" s="389"/>
      <c r="B949" s="389"/>
      <c r="C949" s="390"/>
      <c r="D949" s="389"/>
      <c r="E949" s="389"/>
      <c r="F949" s="389"/>
      <c r="G949" s="389"/>
      <c r="H949" s="389"/>
    </row>
    <row r="950">
      <c r="A950" s="389"/>
      <c r="B950" s="389"/>
      <c r="C950" s="390"/>
      <c r="D950" s="389"/>
      <c r="E950" s="389"/>
      <c r="F950" s="389"/>
      <c r="G950" s="389"/>
      <c r="H950" s="389"/>
    </row>
    <row r="951">
      <c r="A951" s="389"/>
      <c r="B951" s="389"/>
      <c r="C951" s="390"/>
      <c r="D951" s="389"/>
      <c r="E951" s="389"/>
      <c r="F951" s="389"/>
      <c r="G951" s="389"/>
      <c r="H951" s="389"/>
    </row>
    <row r="952">
      <c r="A952" s="389"/>
      <c r="B952" s="389"/>
      <c r="C952" s="390"/>
      <c r="D952" s="389"/>
      <c r="E952" s="389"/>
      <c r="F952" s="389"/>
      <c r="G952" s="389"/>
      <c r="H952" s="389"/>
    </row>
    <row r="953">
      <c r="A953" s="389"/>
      <c r="B953" s="389"/>
      <c r="C953" s="390"/>
      <c r="D953" s="389"/>
      <c r="E953" s="389"/>
      <c r="F953" s="389"/>
      <c r="G953" s="389"/>
      <c r="H953" s="389"/>
    </row>
    <row r="954">
      <c r="A954" s="389"/>
      <c r="B954" s="389"/>
      <c r="C954" s="390"/>
      <c r="D954" s="389"/>
      <c r="E954" s="389"/>
      <c r="F954" s="389"/>
      <c r="G954" s="389"/>
      <c r="H954" s="389"/>
    </row>
    <row r="955">
      <c r="A955" s="389"/>
      <c r="B955" s="389"/>
      <c r="C955" s="390"/>
      <c r="D955" s="389"/>
      <c r="E955" s="389"/>
      <c r="F955" s="389"/>
      <c r="G955" s="389"/>
      <c r="H955" s="389"/>
    </row>
    <row r="956">
      <c r="A956" s="389"/>
      <c r="B956" s="389"/>
      <c r="C956" s="390"/>
      <c r="D956" s="389"/>
      <c r="E956" s="389"/>
      <c r="F956" s="389"/>
      <c r="G956" s="389"/>
      <c r="H956" s="389"/>
    </row>
    <row r="957">
      <c r="A957" s="389"/>
      <c r="B957" s="389"/>
      <c r="C957" s="390"/>
      <c r="D957" s="389"/>
      <c r="E957" s="389"/>
      <c r="F957" s="389"/>
      <c r="G957" s="389"/>
      <c r="H957" s="389"/>
    </row>
    <row r="958">
      <c r="A958" s="389"/>
      <c r="B958" s="389"/>
      <c r="C958" s="390"/>
      <c r="D958" s="389"/>
      <c r="E958" s="389"/>
      <c r="F958" s="389"/>
      <c r="G958" s="389"/>
      <c r="H958" s="389"/>
    </row>
    <row r="959">
      <c r="A959" s="389"/>
      <c r="B959" s="389"/>
      <c r="C959" s="390"/>
      <c r="D959" s="389"/>
      <c r="E959" s="389"/>
      <c r="F959" s="389"/>
      <c r="G959" s="389"/>
      <c r="H959" s="389"/>
    </row>
    <row r="960">
      <c r="A960" s="389"/>
      <c r="B960" s="389"/>
      <c r="C960" s="390"/>
      <c r="D960" s="389"/>
      <c r="E960" s="389"/>
      <c r="F960" s="389"/>
      <c r="G960" s="389"/>
      <c r="H960" s="389"/>
    </row>
    <row r="961">
      <c r="A961" s="389"/>
      <c r="B961" s="389"/>
      <c r="C961" s="390"/>
      <c r="D961" s="389"/>
      <c r="E961" s="389"/>
      <c r="F961" s="389"/>
      <c r="G961" s="389"/>
      <c r="H961" s="389"/>
    </row>
    <row r="962">
      <c r="A962" s="389"/>
      <c r="B962" s="389"/>
      <c r="C962" s="390"/>
      <c r="D962" s="389"/>
      <c r="E962" s="389"/>
      <c r="F962" s="389"/>
      <c r="G962" s="389"/>
      <c r="H962" s="389"/>
    </row>
    <row r="963">
      <c r="A963" s="389"/>
      <c r="B963" s="389"/>
      <c r="C963" s="390"/>
      <c r="D963" s="389"/>
      <c r="E963" s="389"/>
      <c r="F963" s="389"/>
      <c r="G963" s="389"/>
      <c r="H963" s="389"/>
    </row>
    <row r="964">
      <c r="A964" s="389"/>
      <c r="B964" s="389"/>
      <c r="C964" s="390"/>
      <c r="D964" s="389"/>
      <c r="E964" s="389"/>
      <c r="F964" s="389"/>
      <c r="G964" s="389"/>
      <c r="H964" s="389"/>
    </row>
    <row r="965">
      <c r="A965" s="389"/>
      <c r="B965" s="389"/>
      <c r="C965" s="390"/>
      <c r="D965" s="389"/>
      <c r="E965" s="389"/>
      <c r="F965" s="389"/>
      <c r="G965" s="389"/>
      <c r="H965" s="389"/>
    </row>
    <row r="966">
      <c r="A966" s="389"/>
      <c r="B966" s="389"/>
      <c r="C966" s="390"/>
      <c r="D966" s="389"/>
      <c r="E966" s="389"/>
      <c r="F966" s="389"/>
      <c r="G966" s="389"/>
      <c r="H966" s="389"/>
    </row>
    <row r="967">
      <c r="A967" s="389"/>
      <c r="B967" s="389"/>
      <c r="C967" s="390"/>
      <c r="D967" s="389"/>
      <c r="E967" s="389"/>
      <c r="F967" s="389"/>
      <c r="G967" s="389"/>
      <c r="H967" s="389"/>
    </row>
    <row r="968">
      <c r="A968" s="389"/>
      <c r="B968" s="389"/>
      <c r="C968" s="390"/>
      <c r="D968" s="389"/>
      <c r="E968" s="389"/>
      <c r="F968" s="389"/>
      <c r="G968" s="389"/>
      <c r="H968" s="389"/>
    </row>
    <row r="969">
      <c r="A969" s="389"/>
      <c r="B969" s="389"/>
      <c r="C969" s="390"/>
      <c r="D969" s="389"/>
      <c r="E969" s="389"/>
      <c r="F969" s="389"/>
      <c r="G969" s="389"/>
      <c r="H969" s="389"/>
    </row>
    <row r="970">
      <c r="A970" s="389"/>
      <c r="B970" s="389"/>
      <c r="C970" s="390"/>
      <c r="D970" s="389"/>
      <c r="E970" s="389"/>
      <c r="F970" s="389"/>
      <c r="G970" s="389"/>
      <c r="H970" s="389"/>
    </row>
    <row r="971">
      <c r="A971" s="389"/>
      <c r="B971" s="389"/>
      <c r="C971" s="390"/>
      <c r="D971" s="389"/>
      <c r="E971" s="389"/>
      <c r="F971" s="389"/>
      <c r="G971" s="389"/>
      <c r="H971" s="389"/>
    </row>
    <row r="972">
      <c r="A972" s="389"/>
      <c r="B972" s="389"/>
      <c r="C972" s="390"/>
      <c r="D972" s="389"/>
      <c r="E972" s="389"/>
      <c r="F972" s="389"/>
      <c r="G972" s="389"/>
      <c r="H972" s="389"/>
    </row>
    <row r="973">
      <c r="A973" s="389"/>
      <c r="B973" s="389"/>
      <c r="C973" s="390"/>
      <c r="D973" s="389"/>
      <c r="E973" s="389"/>
      <c r="F973" s="389"/>
      <c r="G973" s="389"/>
      <c r="H973" s="389"/>
    </row>
    <row r="974">
      <c r="A974" s="389"/>
      <c r="B974" s="389"/>
      <c r="C974" s="390"/>
      <c r="D974" s="389"/>
      <c r="E974" s="389"/>
      <c r="F974" s="389"/>
      <c r="G974" s="389"/>
      <c r="H974" s="389"/>
    </row>
    <row r="975">
      <c r="A975" s="389"/>
      <c r="B975" s="389"/>
      <c r="C975" s="390"/>
      <c r="D975" s="389"/>
      <c r="E975" s="389"/>
      <c r="F975" s="389"/>
      <c r="G975" s="389"/>
      <c r="H975" s="389"/>
    </row>
    <row r="976">
      <c r="A976" s="389"/>
      <c r="B976" s="389"/>
      <c r="C976" s="390"/>
      <c r="D976" s="389"/>
      <c r="E976" s="389"/>
      <c r="F976" s="389"/>
      <c r="G976" s="389"/>
      <c r="H976" s="389"/>
    </row>
    <row r="977">
      <c r="A977" s="389"/>
      <c r="B977" s="389"/>
      <c r="C977" s="390"/>
      <c r="D977" s="389"/>
      <c r="E977" s="389"/>
      <c r="F977" s="389"/>
      <c r="G977" s="389"/>
      <c r="H977" s="389"/>
    </row>
    <row r="978">
      <c r="A978" s="389"/>
      <c r="B978" s="389"/>
      <c r="C978" s="390"/>
      <c r="D978" s="389"/>
      <c r="E978" s="389"/>
      <c r="F978" s="389"/>
      <c r="G978" s="389"/>
      <c r="H978" s="389"/>
    </row>
    <row r="979">
      <c r="A979" s="389"/>
      <c r="B979" s="389"/>
      <c r="C979" s="390"/>
      <c r="D979" s="389"/>
      <c r="E979" s="389"/>
      <c r="F979" s="389"/>
      <c r="G979" s="389"/>
      <c r="H979" s="389"/>
    </row>
    <row r="980">
      <c r="A980" s="389"/>
      <c r="B980" s="389"/>
      <c r="C980" s="390"/>
      <c r="D980" s="389"/>
      <c r="E980" s="389"/>
      <c r="F980" s="389"/>
      <c r="G980" s="389"/>
      <c r="H980" s="389"/>
    </row>
    <row r="981">
      <c r="A981" s="389"/>
      <c r="B981" s="389"/>
      <c r="C981" s="390"/>
      <c r="D981" s="389"/>
      <c r="E981" s="389"/>
      <c r="F981" s="389"/>
      <c r="G981" s="389"/>
      <c r="H981" s="389"/>
    </row>
    <row r="982">
      <c r="A982" s="389"/>
      <c r="B982" s="389"/>
      <c r="C982" s="390"/>
      <c r="D982" s="389"/>
      <c r="E982" s="389"/>
      <c r="F982" s="389"/>
      <c r="G982" s="389"/>
      <c r="H982" s="389"/>
    </row>
    <row r="983">
      <c r="A983" s="389"/>
      <c r="B983" s="389"/>
      <c r="C983" s="390"/>
      <c r="D983" s="389"/>
      <c r="E983" s="389"/>
      <c r="F983" s="389"/>
      <c r="G983" s="389"/>
      <c r="H983" s="389"/>
    </row>
    <row r="984">
      <c r="A984" s="389"/>
      <c r="B984" s="389"/>
      <c r="C984" s="390"/>
      <c r="D984" s="389"/>
      <c r="E984" s="389"/>
      <c r="F984" s="389"/>
      <c r="G984" s="389"/>
      <c r="H984" s="389"/>
    </row>
    <row r="985">
      <c r="A985" s="389"/>
      <c r="B985" s="389"/>
      <c r="C985" s="390"/>
      <c r="D985" s="389"/>
      <c r="E985" s="389"/>
      <c r="F985" s="389"/>
      <c r="G985" s="389"/>
      <c r="H985" s="389"/>
    </row>
    <row r="986">
      <c r="A986" s="389"/>
      <c r="B986" s="389"/>
      <c r="C986" s="390"/>
      <c r="D986" s="389"/>
      <c r="E986" s="389"/>
      <c r="F986" s="389"/>
      <c r="G986" s="389"/>
      <c r="H986" s="389"/>
    </row>
    <row r="987">
      <c r="A987" s="389"/>
      <c r="B987" s="389"/>
      <c r="C987" s="390"/>
      <c r="D987" s="389"/>
      <c r="E987" s="389"/>
      <c r="F987" s="389"/>
      <c r="G987" s="389"/>
      <c r="H987" s="389"/>
    </row>
    <row r="988">
      <c r="A988" s="389"/>
      <c r="B988" s="389"/>
      <c r="C988" s="390"/>
      <c r="D988" s="389"/>
      <c r="E988" s="389"/>
      <c r="F988" s="389"/>
      <c r="G988" s="389"/>
      <c r="H988" s="389"/>
    </row>
    <row r="989">
      <c r="A989" s="389"/>
      <c r="B989" s="389"/>
      <c r="C989" s="390"/>
      <c r="D989" s="389"/>
      <c r="E989" s="389"/>
      <c r="F989" s="389"/>
      <c r="G989" s="389"/>
      <c r="H989" s="389"/>
    </row>
    <row r="990">
      <c r="A990" s="389"/>
      <c r="B990" s="389"/>
      <c r="C990" s="390"/>
      <c r="D990" s="389"/>
      <c r="E990" s="389"/>
      <c r="F990" s="389"/>
      <c r="G990" s="389"/>
      <c r="H990" s="389"/>
    </row>
    <row r="991">
      <c r="A991" s="389"/>
      <c r="B991" s="389"/>
      <c r="C991" s="390"/>
      <c r="D991" s="389"/>
      <c r="E991" s="389"/>
      <c r="F991" s="389"/>
      <c r="G991" s="389"/>
      <c r="H991" s="389"/>
    </row>
    <row r="992">
      <c r="A992" s="389"/>
      <c r="B992" s="389"/>
      <c r="C992" s="390"/>
      <c r="D992" s="389"/>
      <c r="E992" s="389"/>
      <c r="F992" s="389"/>
      <c r="G992" s="389"/>
      <c r="H992" s="389"/>
    </row>
    <row r="993">
      <c r="A993" s="389"/>
      <c r="B993" s="389"/>
      <c r="C993" s="390"/>
      <c r="D993" s="389"/>
      <c r="E993" s="389"/>
      <c r="F993" s="389"/>
      <c r="G993" s="389"/>
      <c r="H993" s="389"/>
    </row>
    <row r="994">
      <c r="A994" s="389"/>
      <c r="B994" s="389"/>
      <c r="C994" s="390"/>
      <c r="D994" s="389"/>
      <c r="E994" s="389"/>
      <c r="F994" s="389"/>
      <c r="G994" s="389"/>
      <c r="H994" s="389"/>
    </row>
    <row r="995">
      <c r="A995" s="389"/>
      <c r="B995" s="389"/>
      <c r="C995" s="390"/>
      <c r="D995" s="389"/>
      <c r="E995" s="389"/>
      <c r="F995" s="389"/>
      <c r="G995" s="389"/>
      <c r="H995" s="389"/>
    </row>
    <row r="996">
      <c r="A996" s="389"/>
      <c r="B996" s="389"/>
      <c r="C996" s="390"/>
      <c r="D996" s="389"/>
      <c r="E996" s="389"/>
      <c r="F996" s="389"/>
      <c r="G996" s="389"/>
      <c r="H996" s="389"/>
    </row>
    <row r="997">
      <c r="A997" s="389"/>
      <c r="B997" s="389"/>
      <c r="C997" s="390"/>
      <c r="D997" s="389"/>
      <c r="E997" s="389"/>
      <c r="F997" s="389"/>
      <c r="G997" s="389"/>
      <c r="H997" s="389"/>
    </row>
    <row r="998">
      <c r="A998" s="389"/>
      <c r="B998" s="389"/>
      <c r="C998" s="390"/>
      <c r="D998" s="389"/>
      <c r="E998" s="389"/>
      <c r="F998" s="389"/>
      <c r="G998" s="389"/>
      <c r="H998" s="389"/>
    </row>
    <row r="999">
      <c r="A999" s="389"/>
      <c r="B999" s="389"/>
      <c r="C999" s="390"/>
      <c r="D999" s="389"/>
      <c r="E999" s="389"/>
      <c r="F999" s="389"/>
      <c r="G999" s="389"/>
      <c r="H999" s="389"/>
    </row>
    <row r="1000">
      <c r="A1000" s="389"/>
      <c r="B1000" s="389"/>
      <c r="C1000" s="390"/>
      <c r="D1000" s="389"/>
      <c r="E1000" s="389"/>
      <c r="F1000" s="389"/>
      <c r="G1000" s="389"/>
      <c r="H1000" s="389"/>
    </row>
    <row r="1001">
      <c r="A1001" s="389"/>
      <c r="B1001" s="389"/>
      <c r="C1001" s="390"/>
      <c r="D1001" s="389"/>
      <c r="E1001" s="389"/>
      <c r="F1001" s="389"/>
      <c r="G1001" s="389"/>
      <c r="H1001" s="389"/>
    </row>
    <row r="1002">
      <c r="A1002" s="389"/>
      <c r="B1002" s="389"/>
      <c r="C1002" s="390"/>
      <c r="D1002" s="389"/>
      <c r="E1002" s="389"/>
      <c r="F1002" s="389"/>
      <c r="G1002" s="389"/>
      <c r="H1002" s="389"/>
    </row>
    <row r="1003">
      <c r="A1003" s="389"/>
      <c r="B1003" s="389"/>
      <c r="C1003" s="390"/>
      <c r="D1003" s="389"/>
      <c r="E1003" s="389"/>
      <c r="F1003" s="389"/>
      <c r="G1003" s="389"/>
      <c r="H1003" s="389"/>
    </row>
    <row r="1004">
      <c r="A1004" s="389"/>
      <c r="B1004" s="389"/>
      <c r="C1004" s="390"/>
      <c r="D1004" s="389"/>
      <c r="E1004" s="389"/>
      <c r="F1004" s="389"/>
      <c r="G1004" s="389"/>
      <c r="H1004" s="389"/>
    </row>
    <row r="1005">
      <c r="A1005" s="389"/>
      <c r="B1005" s="389"/>
      <c r="C1005" s="390"/>
      <c r="D1005" s="389"/>
      <c r="E1005" s="389"/>
      <c r="F1005" s="389"/>
      <c r="G1005" s="389"/>
      <c r="H1005" s="389"/>
    </row>
    <row r="1006">
      <c r="A1006" s="389"/>
      <c r="B1006" s="389"/>
      <c r="C1006" s="390"/>
      <c r="D1006" s="389"/>
      <c r="E1006" s="389"/>
      <c r="F1006" s="389"/>
      <c r="G1006" s="389"/>
      <c r="H1006" s="389"/>
    </row>
    <row r="1007">
      <c r="A1007" s="389"/>
      <c r="B1007" s="389"/>
      <c r="C1007" s="390"/>
      <c r="D1007" s="389"/>
      <c r="E1007" s="389"/>
      <c r="F1007" s="389"/>
      <c r="G1007" s="389"/>
      <c r="H1007" s="389"/>
    </row>
    <row r="1008">
      <c r="A1008" s="389"/>
      <c r="B1008" s="389"/>
      <c r="C1008" s="390"/>
      <c r="D1008" s="389"/>
      <c r="E1008" s="389"/>
      <c r="F1008" s="389"/>
      <c r="G1008" s="389"/>
      <c r="H1008" s="389"/>
    </row>
    <row r="1009">
      <c r="A1009" s="389"/>
      <c r="B1009" s="389"/>
      <c r="C1009" s="390"/>
      <c r="D1009" s="389"/>
      <c r="E1009" s="389"/>
      <c r="F1009" s="389"/>
      <c r="G1009" s="389"/>
      <c r="H1009" s="389"/>
    </row>
    <row r="1010">
      <c r="A1010" s="389"/>
      <c r="B1010" s="389"/>
      <c r="C1010" s="390"/>
      <c r="D1010" s="389"/>
      <c r="E1010" s="389"/>
      <c r="F1010" s="389"/>
      <c r="G1010" s="389"/>
      <c r="H1010" s="389"/>
    </row>
    <row r="1011">
      <c r="A1011" s="389"/>
      <c r="B1011" s="389"/>
      <c r="C1011" s="390"/>
      <c r="D1011" s="389"/>
      <c r="E1011" s="389"/>
      <c r="F1011" s="389"/>
      <c r="G1011" s="389"/>
      <c r="H1011" s="389"/>
    </row>
    <row r="1012">
      <c r="A1012" s="389"/>
      <c r="B1012" s="389"/>
      <c r="C1012" s="390"/>
      <c r="D1012" s="389"/>
      <c r="E1012" s="389"/>
      <c r="F1012" s="389"/>
      <c r="G1012" s="389"/>
      <c r="H1012" s="389"/>
    </row>
    <row r="1013">
      <c r="A1013" s="389"/>
      <c r="B1013" s="389"/>
      <c r="C1013" s="390"/>
      <c r="D1013" s="389"/>
      <c r="E1013" s="389"/>
      <c r="F1013" s="389"/>
      <c r="G1013" s="389"/>
      <c r="H1013" s="389"/>
    </row>
    <row r="1014">
      <c r="A1014" s="389"/>
      <c r="B1014" s="389"/>
      <c r="C1014" s="390"/>
      <c r="D1014" s="389"/>
      <c r="E1014" s="389"/>
      <c r="F1014" s="389"/>
      <c r="G1014" s="389"/>
      <c r="H1014" s="389"/>
    </row>
    <row r="1015">
      <c r="A1015" s="389"/>
      <c r="B1015" s="389"/>
      <c r="C1015" s="390"/>
      <c r="D1015" s="389"/>
      <c r="E1015" s="389"/>
      <c r="F1015" s="389"/>
      <c r="G1015" s="389"/>
      <c r="H1015" s="389"/>
    </row>
    <row r="1016">
      <c r="A1016" s="389"/>
      <c r="B1016" s="389"/>
      <c r="C1016" s="390"/>
      <c r="D1016" s="389"/>
      <c r="E1016" s="389"/>
      <c r="F1016" s="389"/>
      <c r="G1016" s="389"/>
      <c r="H1016" s="389"/>
    </row>
    <row r="1017">
      <c r="A1017" s="389"/>
      <c r="B1017" s="389"/>
      <c r="C1017" s="390"/>
      <c r="D1017" s="389"/>
      <c r="E1017" s="389"/>
      <c r="F1017" s="389"/>
      <c r="G1017" s="389"/>
      <c r="H1017" s="389"/>
    </row>
    <row r="1018">
      <c r="A1018" s="389"/>
      <c r="B1018" s="389"/>
      <c r="C1018" s="390"/>
      <c r="D1018" s="389"/>
      <c r="E1018" s="389"/>
      <c r="F1018" s="389"/>
      <c r="G1018" s="389"/>
      <c r="H1018" s="389"/>
    </row>
    <row r="1019">
      <c r="A1019" s="389"/>
      <c r="B1019" s="389"/>
      <c r="C1019" s="390"/>
      <c r="D1019" s="389"/>
      <c r="E1019" s="389"/>
      <c r="F1019" s="389"/>
      <c r="G1019" s="389"/>
      <c r="H1019" s="389"/>
    </row>
    <row r="1020">
      <c r="A1020" s="389"/>
      <c r="B1020" s="389"/>
      <c r="C1020" s="390"/>
      <c r="D1020" s="389"/>
      <c r="E1020" s="389"/>
      <c r="F1020" s="389"/>
      <c r="G1020" s="389"/>
      <c r="H1020" s="389"/>
    </row>
    <row r="1021">
      <c r="A1021" s="389"/>
      <c r="B1021" s="389"/>
      <c r="C1021" s="390"/>
      <c r="D1021" s="389"/>
      <c r="E1021" s="389"/>
      <c r="F1021" s="389"/>
      <c r="G1021" s="389"/>
      <c r="H1021" s="389"/>
    </row>
    <row r="1022">
      <c r="A1022" s="389"/>
      <c r="B1022" s="389"/>
      <c r="C1022" s="390"/>
      <c r="D1022" s="389"/>
      <c r="E1022" s="389"/>
      <c r="F1022" s="389"/>
      <c r="G1022" s="389"/>
      <c r="H1022" s="389"/>
    </row>
    <row r="1023">
      <c r="A1023" s="389"/>
      <c r="B1023" s="389"/>
      <c r="C1023" s="390"/>
      <c r="D1023" s="389"/>
      <c r="E1023" s="389"/>
      <c r="F1023" s="389"/>
      <c r="G1023" s="389"/>
      <c r="H1023" s="389"/>
    </row>
    <row r="1024">
      <c r="A1024" s="389"/>
      <c r="B1024" s="389"/>
      <c r="C1024" s="390"/>
      <c r="D1024" s="389"/>
      <c r="E1024" s="389"/>
      <c r="F1024" s="389"/>
      <c r="G1024" s="389"/>
      <c r="H1024" s="389"/>
    </row>
    <row r="1025">
      <c r="A1025" s="389"/>
      <c r="B1025" s="389"/>
      <c r="C1025" s="390"/>
      <c r="D1025" s="389"/>
      <c r="E1025" s="389"/>
      <c r="F1025" s="389"/>
      <c r="G1025" s="389"/>
      <c r="H1025" s="389"/>
    </row>
    <row r="1026">
      <c r="A1026" s="389"/>
      <c r="B1026" s="389"/>
      <c r="C1026" s="390"/>
      <c r="D1026" s="389"/>
      <c r="E1026" s="389"/>
      <c r="F1026" s="389"/>
      <c r="G1026" s="389"/>
      <c r="H1026" s="389"/>
    </row>
    <row r="1027">
      <c r="A1027" s="389"/>
      <c r="B1027" s="389"/>
      <c r="C1027" s="390"/>
      <c r="D1027" s="389"/>
      <c r="E1027" s="389"/>
      <c r="F1027" s="389"/>
      <c r="G1027" s="389"/>
      <c r="H1027" s="389"/>
    </row>
    <row r="1028">
      <c r="A1028" s="389"/>
      <c r="B1028" s="389"/>
      <c r="C1028" s="390"/>
      <c r="D1028" s="389"/>
      <c r="E1028" s="389"/>
      <c r="F1028" s="389"/>
      <c r="G1028" s="389"/>
      <c r="H1028" s="389"/>
    </row>
    <row r="1029">
      <c r="A1029" s="389"/>
      <c r="B1029" s="389"/>
      <c r="C1029" s="390"/>
      <c r="D1029" s="389"/>
      <c r="E1029" s="389"/>
      <c r="F1029" s="389"/>
      <c r="G1029" s="389"/>
      <c r="H1029" s="389"/>
    </row>
    <row r="1030">
      <c r="A1030" s="389"/>
      <c r="B1030" s="389"/>
      <c r="C1030" s="390"/>
      <c r="D1030" s="389"/>
      <c r="E1030" s="389"/>
      <c r="F1030" s="389"/>
      <c r="G1030" s="389"/>
      <c r="H1030" s="389"/>
    </row>
    <row r="1031">
      <c r="A1031" s="389"/>
      <c r="B1031" s="389"/>
      <c r="C1031" s="390"/>
      <c r="D1031" s="389"/>
      <c r="E1031" s="389"/>
      <c r="F1031" s="389"/>
      <c r="G1031" s="389"/>
      <c r="H1031" s="389"/>
    </row>
    <row r="1032">
      <c r="A1032" s="389"/>
      <c r="B1032" s="389"/>
      <c r="C1032" s="390"/>
      <c r="D1032" s="389"/>
      <c r="E1032" s="389"/>
      <c r="F1032" s="389"/>
      <c r="G1032" s="389"/>
      <c r="H1032" s="389"/>
    </row>
    <row r="1033">
      <c r="A1033" s="389"/>
      <c r="B1033" s="389"/>
      <c r="C1033" s="390"/>
      <c r="D1033" s="389"/>
      <c r="E1033" s="389"/>
      <c r="F1033" s="389"/>
      <c r="G1033" s="389"/>
      <c r="H1033" s="389"/>
    </row>
    <row r="1034">
      <c r="A1034" s="389"/>
      <c r="B1034" s="389"/>
      <c r="C1034" s="390"/>
      <c r="D1034" s="389"/>
      <c r="E1034" s="389"/>
      <c r="F1034" s="389"/>
      <c r="G1034" s="389"/>
      <c r="H1034" s="389"/>
    </row>
    <row r="1035">
      <c r="A1035" s="389"/>
      <c r="B1035" s="389"/>
      <c r="C1035" s="390"/>
      <c r="D1035" s="389"/>
      <c r="E1035" s="389"/>
      <c r="F1035" s="389"/>
      <c r="G1035" s="389"/>
      <c r="H1035" s="389"/>
    </row>
    <row r="1036">
      <c r="A1036" s="389"/>
      <c r="B1036" s="389"/>
      <c r="C1036" s="390"/>
      <c r="D1036" s="389"/>
      <c r="E1036" s="389"/>
      <c r="F1036" s="389"/>
      <c r="G1036" s="389"/>
      <c r="H1036" s="389"/>
    </row>
    <row r="1037">
      <c r="A1037" s="389"/>
      <c r="B1037" s="389"/>
      <c r="C1037" s="390"/>
      <c r="D1037" s="389"/>
      <c r="E1037" s="389"/>
      <c r="F1037" s="389"/>
      <c r="G1037" s="389"/>
      <c r="H1037" s="389"/>
    </row>
    <row r="1038">
      <c r="A1038" s="389"/>
      <c r="B1038" s="389"/>
      <c r="C1038" s="390"/>
      <c r="D1038" s="389"/>
      <c r="E1038" s="389"/>
      <c r="F1038" s="389"/>
      <c r="G1038" s="389"/>
      <c r="H1038" s="389"/>
    </row>
    <row r="1039">
      <c r="A1039" s="389"/>
      <c r="B1039" s="389"/>
      <c r="C1039" s="390"/>
      <c r="D1039" s="389"/>
      <c r="E1039" s="389"/>
      <c r="F1039" s="389"/>
      <c r="G1039" s="389"/>
      <c r="H1039" s="389"/>
    </row>
    <row r="1040">
      <c r="A1040" s="389"/>
      <c r="B1040" s="389"/>
      <c r="C1040" s="390"/>
      <c r="D1040" s="389"/>
      <c r="E1040" s="389"/>
      <c r="F1040" s="389"/>
      <c r="G1040" s="389"/>
      <c r="H1040" s="389"/>
    </row>
    <row r="1041">
      <c r="A1041" s="389"/>
      <c r="B1041" s="389"/>
      <c r="C1041" s="390"/>
      <c r="D1041" s="389"/>
      <c r="E1041" s="389"/>
      <c r="F1041" s="389"/>
      <c r="G1041" s="389"/>
      <c r="H1041" s="389"/>
    </row>
    <row r="1042">
      <c r="A1042" s="389"/>
      <c r="B1042" s="389"/>
      <c r="C1042" s="390"/>
      <c r="D1042" s="389"/>
      <c r="E1042" s="389"/>
      <c r="F1042" s="389"/>
      <c r="G1042" s="389"/>
      <c r="H1042" s="389"/>
    </row>
    <row r="1043">
      <c r="A1043" s="389"/>
      <c r="B1043" s="389"/>
      <c r="C1043" s="390"/>
      <c r="D1043" s="389"/>
      <c r="E1043" s="389"/>
      <c r="F1043" s="389"/>
      <c r="G1043" s="389"/>
      <c r="H1043" s="389"/>
    </row>
    <row r="1044">
      <c r="A1044" s="389"/>
      <c r="B1044" s="389"/>
      <c r="C1044" s="390"/>
      <c r="D1044" s="389"/>
      <c r="E1044" s="389"/>
      <c r="F1044" s="389"/>
      <c r="G1044" s="389"/>
      <c r="H1044" s="389"/>
    </row>
    <row r="1045">
      <c r="A1045" s="389"/>
      <c r="B1045" s="389"/>
      <c r="C1045" s="390"/>
      <c r="D1045" s="389"/>
      <c r="E1045" s="389"/>
      <c r="F1045" s="389"/>
      <c r="G1045" s="389"/>
      <c r="H1045" s="389"/>
    </row>
    <row r="1046">
      <c r="A1046" s="389"/>
      <c r="B1046" s="389"/>
      <c r="C1046" s="390"/>
      <c r="D1046" s="389"/>
      <c r="E1046" s="389"/>
      <c r="F1046" s="389"/>
      <c r="G1046" s="389"/>
      <c r="H1046" s="389"/>
    </row>
    <row r="1047">
      <c r="A1047" s="389"/>
      <c r="B1047" s="389"/>
      <c r="C1047" s="390"/>
      <c r="D1047" s="389"/>
      <c r="E1047" s="389"/>
      <c r="F1047" s="389"/>
      <c r="G1047" s="389"/>
      <c r="H1047" s="389"/>
    </row>
    <row r="1048">
      <c r="A1048" s="389"/>
      <c r="B1048" s="389"/>
      <c r="C1048" s="390"/>
      <c r="D1048" s="389"/>
      <c r="E1048" s="389"/>
      <c r="F1048" s="389"/>
      <c r="G1048" s="389"/>
      <c r="H1048" s="389"/>
    </row>
    <row r="1049">
      <c r="A1049" s="389"/>
      <c r="B1049" s="389"/>
      <c r="C1049" s="390"/>
      <c r="D1049" s="389"/>
      <c r="E1049" s="389"/>
      <c r="F1049" s="389"/>
      <c r="G1049" s="389"/>
      <c r="H1049" s="389"/>
    </row>
    <row r="1050">
      <c r="A1050" s="389"/>
      <c r="B1050" s="389"/>
      <c r="C1050" s="390"/>
      <c r="D1050" s="389"/>
      <c r="E1050" s="389"/>
      <c r="F1050" s="389"/>
      <c r="G1050" s="389"/>
      <c r="H1050" s="389"/>
    </row>
    <row r="1051">
      <c r="A1051" s="389"/>
      <c r="B1051" s="389"/>
      <c r="C1051" s="390"/>
      <c r="D1051" s="389"/>
      <c r="E1051" s="389"/>
      <c r="F1051" s="389"/>
      <c r="G1051" s="389"/>
      <c r="H1051" s="389"/>
    </row>
    <row r="1052">
      <c r="A1052" s="389"/>
      <c r="B1052" s="389"/>
      <c r="C1052" s="390"/>
      <c r="D1052" s="389"/>
      <c r="E1052" s="389"/>
      <c r="F1052" s="389"/>
      <c r="G1052" s="389"/>
      <c r="H1052" s="389"/>
    </row>
    <row r="1053">
      <c r="A1053" s="389"/>
      <c r="B1053" s="389"/>
      <c r="C1053" s="390"/>
      <c r="D1053" s="389"/>
      <c r="E1053" s="389"/>
      <c r="F1053" s="389"/>
      <c r="G1053" s="389"/>
      <c r="H1053" s="389"/>
    </row>
    <row r="1054">
      <c r="A1054" s="389"/>
      <c r="B1054" s="389"/>
      <c r="C1054" s="390"/>
      <c r="D1054" s="389"/>
      <c r="E1054" s="389"/>
      <c r="F1054" s="389"/>
      <c r="G1054" s="389"/>
      <c r="H1054" s="389"/>
    </row>
    <row r="1055">
      <c r="A1055" s="389"/>
      <c r="B1055" s="389"/>
      <c r="C1055" s="390"/>
      <c r="D1055" s="389"/>
      <c r="E1055" s="389"/>
      <c r="F1055" s="389"/>
      <c r="G1055" s="389"/>
      <c r="H1055" s="389"/>
    </row>
    <row r="1056">
      <c r="A1056" s="389"/>
      <c r="B1056" s="389"/>
      <c r="C1056" s="390"/>
      <c r="D1056" s="389"/>
      <c r="E1056" s="389"/>
      <c r="F1056" s="389"/>
      <c r="G1056" s="389"/>
      <c r="H1056" s="389"/>
    </row>
    <row r="1057">
      <c r="A1057" s="389"/>
      <c r="B1057" s="389"/>
      <c r="C1057" s="390"/>
      <c r="D1057" s="389"/>
      <c r="E1057" s="389"/>
      <c r="F1057" s="389"/>
      <c r="G1057" s="389"/>
      <c r="H1057" s="389"/>
    </row>
    <row r="1058">
      <c r="A1058" s="389"/>
      <c r="B1058" s="389"/>
      <c r="C1058" s="390"/>
      <c r="D1058" s="389"/>
      <c r="E1058" s="389"/>
      <c r="F1058" s="389"/>
      <c r="G1058" s="389"/>
      <c r="H1058" s="389"/>
    </row>
    <row r="1059">
      <c r="A1059" s="389"/>
      <c r="B1059" s="389"/>
      <c r="C1059" s="390"/>
      <c r="D1059" s="389"/>
      <c r="E1059" s="389"/>
      <c r="F1059" s="389"/>
      <c r="G1059" s="389"/>
      <c r="H1059" s="389"/>
    </row>
    <row r="1060">
      <c r="A1060" s="389"/>
      <c r="B1060" s="389"/>
      <c r="C1060" s="390"/>
      <c r="D1060" s="389"/>
      <c r="E1060" s="389"/>
      <c r="F1060" s="389"/>
      <c r="G1060" s="389"/>
      <c r="H1060" s="389"/>
    </row>
  </sheetData>
  <conditionalFormatting sqref="A1">
    <cfRule type="notContainsBlanks" dxfId="5" priority="1">
      <formula>LEN(TRIM(A1))&gt;0</formula>
    </cfRule>
  </conditionalFormatting>
  <printOptions gridLines="1" horizontalCentered="1"/>
  <pageMargins bottom="0.75" footer="0.0" header="0.0" left="0.7" right="0.7" top="0.75"/>
  <pageSetup paperSize="9" cellComments="atEnd" orientation="portrait" pageOrder="overThenDown"/>
  <drawing r:id="rId1"/>
  <tableParts count="1">
    <tablePart r:id="rId3"/>
  </tableParts>
</worksheet>
</file>